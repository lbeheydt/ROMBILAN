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mausvzw-my.sharepoint.com/personal/sarah_boddewyn_emmaus_be/Documents/Documenten/DIAGNOSTISCHE CEL/BILAN/"/>
    </mc:Choice>
  </mc:AlternateContent>
  <xr:revisionPtr revIDLastSave="4" documentId="8_{FAAE79C1-2F02-4FA4-94DE-A4E96D2DDB13}" xr6:coauthVersionLast="47" xr6:coauthVersionMax="47" xr10:uidLastSave="{6B66EB7D-F83E-4FA5-83B2-A7384A9B2414}"/>
  <bookViews>
    <workbookView xWindow="-108" yWindow="-108" windowWidth="23256" windowHeight="12576" xr2:uid="{9A8C60C7-3BEE-436C-A14A-6C1DBE571080}"/>
  </bookViews>
  <sheets>
    <sheet name="Itemoverzicht" sheetId="1" r:id="rId1"/>
    <sheet name="Grafiek" sheetId="17" r:id="rId2"/>
    <sheet name="Tabel" sheetId="15" r:id="rId3"/>
    <sheet name="ICF Bilan" sheetId="18" r:id="rId4"/>
  </sheets>
  <definedNames>
    <definedName name="_xlcn.WorksheetConnection_Blad1A1J931" hidden="1">Itemoverzicht!$A$1:$J$97</definedName>
  </definedNames>
  <calcPr calcId="191029"/>
  <pivotCaches>
    <pivotCache cacheId="1" r:id="rId5"/>
  </pivotCaches>
  <extLst>
    <ext xmlns:x15="http://schemas.microsoft.com/office/spreadsheetml/2010/11/main" uri="{841E416B-1EF1-43b6-AB56-02D37102CBD5}">
      <x15:pivotCaches>
        <pivotCache cacheId="2" r:id="rId6"/>
      </x15:pivotCaches>
    </ext>
    <ext xmlns:x15="http://schemas.microsoft.com/office/spreadsheetml/2010/11/main" uri="{983426D0-5260-488c-9760-48F4B6AC55F4}">
      <x15:pivotTableReferences>
        <x15:pivotTableReference r:id="rId7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ereik" name="Bereik" connection="WorksheetConnection_Blad1!$A$1:$J$9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4" i="1" l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G18" i="18"/>
  <c r="H40" i="18"/>
  <c r="H18" i="18"/>
  <c r="I19" i="18"/>
  <c r="J75" i="1"/>
  <c r="J76" i="1"/>
  <c r="I39" i="18" s="1"/>
  <c r="J74" i="1"/>
  <c r="I18" i="18" s="1"/>
  <c r="J77" i="1"/>
  <c r="I3" i="18"/>
  <c r="I4" i="18"/>
  <c r="I9" i="18"/>
  <c r="I13" i="18"/>
  <c r="I20" i="18"/>
  <c r="I27" i="18"/>
  <c r="I28" i="18"/>
  <c r="I32" i="18"/>
  <c r="I33" i="18"/>
  <c r="I34" i="18"/>
  <c r="I41" i="18"/>
  <c r="I42" i="18"/>
  <c r="I43" i="18"/>
  <c r="I44" i="18"/>
  <c r="I47" i="18"/>
  <c r="I2" i="18"/>
  <c r="H3" i="18"/>
  <c r="H4" i="18"/>
  <c r="H8" i="18"/>
  <c r="H9" i="18"/>
  <c r="H13" i="18"/>
  <c r="H20" i="18"/>
  <c r="H28" i="18"/>
  <c r="H33" i="18"/>
  <c r="H34" i="18"/>
  <c r="H42" i="18"/>
  <c r="H43" i="18"/>
  <c r="H44" i="18"/>
  <c r="H45" i="18"/>
  <c r="H46" i="18"/>
  <c r="H47" i="18"/>
  <c r="H48" i="18"/>
  <c r="H49" i="18"/>
  <c r="H50" i="18"/>
  <c r="H51" i="18"/>
  <c r="H52" i="18"/>
  <c r="H2" i="18"/>
  <c r="G2" i="18"/>
  <c r="G3" i="18"/>
  <c r="G4" i="18"/>
  <c r="G9" i="18"/>
  <c r="G13" i="18"/>
  <c r="G17" i="18"/>
  <c r="G19" i="18"/>
  <c r="G20" i="18"/>
  <c r="G28" i="18"/>
  <c r="G34" i="18"/>
  <c r="G36" i="18"/>
  <c r="G38" i="18"/>
  <c r="G39" i="18"/>
  <c r="G41" i="18"/>
  <c r="G42" i="18"/>
  <c r="G50" i="18"/>
  <c r="G51" i="18"/>
  <c r="G52" i="18"/>
  <c r="J87" i="1"/>
  <c r="H31" i="18" s="1"/>
  <c r="J88" i="1"/>
  <c r="G49" i="18" s="1"/>
  <c r="J89" i="1"/>
  <c r="H29" i="18" s="1"/>
  <c r="J90" i="1"/>
  <c r="H37" i="18" s="1"/>
  <c r="J91" i="1"/>
  <c r="I52" i="18" s="1"/>
  <c r="J92" i="1"/>
  <c r="G47" i="18" s="1"/>
  <c r="J93" i="1"/>
  <c r="I21" i="18" s="1"/>
  <c r="J94" i="1"/>
  <c r="G23" i="18" s="1"/>
  <c r="J95" i="1"/>
  <c r="I26" i="18" s="1"/>
  <c r="J96" i="1"/>
  <c r="I48" i="18" s="1"/>
  <c r="J97" i="1"/>
  <c r="I50" i="18" s="1"/>
  <c r="J86" i="1"/>
  <c r="J85" i="1"/>
  <c r="H22" i="18" s="1"/>
  <c r="J84" i="1"/>
  <c r="G44" i="18" s="1"/>
  <c r="J83" i="1"/>
  <c r="G45" i="18" s="1"/>
  <c r="J82" i="1"/>
  <c r="I45" i="18" s="1"/>
  <c r="J81" i="1"/>
  <c r="G48" i="18" s="1"/>
  <c r="J80" i="1"/>
  <c r="G43" i="18" s="1"/>
  <c r="J79" i="1"/>
  <c r="G46" i="18" s="1"/>
  <c r="J78" i="1"/>
  <c r="I22" i="18" s="1"/>
  <c r="J73" i="1"/>
  <c r="H35" i="18" s="1"/>
  <c r="J72" i="1"/>
  <c r="I35" i="18" s="1"/>
  <c r="J71" i="1"/>
  <c r="H14" i="18" s="1"/>
  <c r="J70" i="1"/>
  <c r="I15" i="18" s="1"/>
  <c r="J69" i="1"/>
  <c r="I25" i="18" s="1"/>
  <c r="J68" i="1"/>
  <c r="I23" i="18" s="1"/>
  <c r="J67" i="1"/>
  <c r="G21" i="18" s="1"/>
  <c r="J66" i="1"/>
  <c r="I24" i="18" s="1"/>
  <c r="J65" i="1"/>
  <c r="H24" i="18" s="1"/>
  <c r="J64" i="1"/>
  <c r="H21" i="18" s="1"/>
  <c r="J63" i="1"/>
  <c r="I29" i="18" s="1"/>
  <c r="J62" i="1"/>
  <c r="H19" i="18" s="1"/>
  <c r="J61" i="1"/>
  <c r="I31" i="18" s="1"/>
  <c r="J60" i="1"/>
  <c r="H36" i="18" s="1"/>
  <c r="J59" i="1"/>
  <c r="I36" i="18" s="1"/>
  <c r="J58" i="1"/>
  <c r="H41" i="18" s="1"/>
  <c r="J57" i="1"/>
  <c r="H39" i="18" s="1"/>
  <c r="J56" i="1"/>
  <c r="H38" i="18" s="1"/>
  <c r="J55" i="1"/>
  <c r="H23" i="18" s="1"/>
  <c r="J54" i="1"/>
  <c r="I14" i="18" s="1"/>
  <c r="J53" i="1"/>
  <c r="H15" i="18" s="1"/>
  <c r="J52" i="1"/>
  <c r="I16" i="18" s="1"/>
  <c r="J51" i="1"/>
  <c r="H16" i="18" s="1"/>
  <c r="J50" i="1"/>
  <c r="G16" i="18" s="1"/>
  <c r="J49" i="1"/>
  <c r="H6" i="18" s="1"/>
  <c r="J48" i="1"/>
  <c r="G15" i="18" s="1"/>
  <c r="J47" i="1"/>
  <c r="G8" i="18" s="1"/>
  <c r="J46" i="1"/>
  <c r="G27" i="18" s="1"/>
  <c r="J45" i="1"/>
  <c r="G37" i="18" s="1"/>
  <c r="J44" i="1"/>
  <c r="G26" i="18" s="1"/>
  <c r="J43" i="1"/>
  <c r="J42" i="1"/>
  <c r="H30" i="18" s="1"/>
  <c r="J41" i="1"/>
  <c r="G11" i="18" s="1"/>
  <c r="J40" i="1"/>
  <c r="G14" i="18" s="1"/>
  <c r="J39" i="1"/>
  <c r="G10" i="18" s="1"/>
  <c r="J38" i="1"/>
  <c r="H11" i="18" s="1"/>
  <c r="J37" i="1"/>
  <c r="G25" i="18" s="1"/>
  <c r="J36" i="1"/>
  <c r="I17" i="18" s="1"/>
  <c r="J35" i="1"/>
  <c r="G24" i="18" s="1"/>
  <c r="J34" i="1"/>
  <c r="G7" i="18" s="1"/>
  <c r="J33" i="1"/>
  <c r="G22" i="18" s="1"/>
  <c r="J32" i="1"/>
  <c r="G32" i="18" s="1"/>
  <c r="J31" i="1"/>
  <c r="I38" i="18" s="1"/>
  <c r="J30" i="1"/>
  <c r="I51" i="18" s="1"/>
  <c r="J29" i="1"/>
  <c r="G6" i="18" s="1"/>
  <c r="J28" i="1"/>
  <c r="H26" i="18" s="1"/>
  <c r="J27" i="1"/>
  <c r="I30" i="18" s="1"/>
  <c r="J26" i="1"/>
  <c r="I7" i="18" s="1"/>
  <c r="J25" i="1"/>
  <c r="G5" i="18" s="1"/>
  <c r="J24" i="1"/>
  <c r="H27" i="18" s="1"/>
  <c r="J23" i="1"/>
  <c r="G30" i="18" s="1"/>
  <c r="J22" i="1"/>
  <c r="H5" i="18" s="1"/>
  <c r="J21" i="1"/>
  <c r="I37" i="18" s="1"/>
  <c r="J20" i="1"/>
  <c r="I49" i="18" s="1"/>
  <c r="J19" i="1"/>
  <c r="I11" i="18" s="1"/>
  <c r="J18" i="1"/>
  <c r="H32" i="18" s="1"/>
  <c r="J17" i="1"/>
  <c r="I6" i="18" s="1"/>
  <c r="J16" i="1"/>
  <c r="I10" i="18" s="1"/>
  <c r="J15" i="1"/>
  <c r="I5" i="18" s="1"/>
  <c r="J14" i="1"/>
  <c r="I46" i="18" s="1"/>
  <c r="J13" i="1"/>
  <c r="H10" i="18" s="1"/>
  <c r="J12" i="1"/>
  <c r="G33" i="18" s="1"/>
  <c r="J11" i="1"/>
  <c r="H25" i="18" s="1"/>
  <c r="J10" i="1"/>
  <c r="H17" i="18" s="1"/>
  <c r="J9" i="1"/>
  <c r="I8" i="18" s="1"/>
  <c r="J8" i="1"/>
  <c r="H12" i="18" s="1"/>
  <c r="J7" i="1"/>
  <c r="I12" i="18" s="1"/>
  <c r="J6" i="1"/>
  <c r="G31" i="18" s="1"/>
  <c r="J5" i="1"/>
  <c r="H7" i="18" s="1"/>
  <c r="J4" i="1"/>
  <c r="G12" i="18" s="1"/>
  <c r="J3" i="1"/>
  <c r="G35" i="18" s="1"/>
  <c r="J2" i="1"/>
  <c r="G29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4C38B-FBDE-462E-9B55-B66B19FC4F6C}" keepAlive="1" name="ThisWorkbookDataModel" description="Gegevens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B5E8DF0-1203-4D24-A270-9537BB482B80}" name="WorksheetConnection_Blad1!$A$1:$J$93" type="102" refreshedVersion="7" minRefreshableVersion="5">
    <extLst>
      <ext xmlns:x15="http://schemas.microsoft.com/office/spreadsheetml/2010/11/main" uri="{DE250136-89BD-433C-8126-D09CA5730AF9}">
        <x15:connection id="Bereik" autoDelete="1">
          <x15:rangePr sourceName="_xlcn.WorksheetConnection_Blad1A1J931"/>
        </x15:connection>
      </ext>
    </extLst>
  </connection>
</connections>
</file>

<file path=xl/sharedStrings.xml><?xml version="1.0" encoding="utf-8"?>
<sst xmlns="http://schemas.openxmlformats.org/spreadsheetml/2006/main" count="979" uniqueCount="378">
  <si>
    <t>ICF_groep</t>
  </si>
  <si>
    <t>ICF_subgroep</t>
  </si>
  <si>
    <t>ICF_itemomschrijving</t>
  </si>
  <si>
    <t>Schaal origineel</t>
  </si>
  <si>
    <t>Schaalcode</t>
  </si>
  <si>
    <t>Cutoff (licht)</t>
  </si>
  <si>
    <t>Cutoff matig</t>
  </si>
  <si>
    <t>Cutoff ernstig</t>
  </si>
  <si>
    <t>ICF score_totaal</t>
  </si>
  <si>
    <t>II. Functies/anatomisch</t>
  </si>
  <si>
    <t>05. Lichaam/regulatie</t>
  </si>
  <si>
    <t>Kortademig zonder inspanning</t>
  </si>
  <si>
    <t>SQ48</t>
  </si>
  <si>
    <t>SQ48_SOMAT_1</t>
  </si>
  <si>
    <t>06. Activatie/sensorimotorisch</t>
  </si>
  <si>
    <t>Vertraagd of langzaam voelen</t>
  </si>
  <si>
    <t>SQ48_COGN_2</t>
  </si>
  <si>
    <t>02. Stemming/positief affect</t>
  </si>
  <si>
    <t>Ontevreden zijn</t>
  </si>
  <si>
    <t>SQ48_DEPR_3</t>
  </si>
  <si>
    <t>III. Activiteiten</t>
  </si>
  <si>
    <t>01. Stress/negatief affect</t>
  </si>
  <si>
    <t>Angstig in menigte zijn</t>
  </si>
  <si>
    <t>SQ48_AGORA_4</t>
  </si>
  <si>
    <t>Hartkloppingen</t>
  </si>
  <si>
    <t>SQ48_SOMAT_5</t>
  </si>
  <si>
    <t>Moeite met beslissingen</t>
  </si>
  <si>
    <t>SQ48_COGN_6</t>
  </si>
  <si>
    <t>Niet kunnen genieten</t>
  </si>
  <si>
    <t>SQ48_DEPR_7</t>
  </si>
  <si>
    <t>Moeite met open ruimtes</t>
  </si>
  <si>
    <t>SQ48_AGORA_8</t>
  </si>
  <si>
    <t>IV. Participatie</t>
  </si>
  <si>
    <t>03. Denken/cognitief</t>
  </si>
  <si>
    <t>Stress op werk of studie</t>
  </si>
  <si>
    <t>SQ48_WERK_9</t>
  </si>
  <si>
    <t>04. Sociaal/affiliatief</t>
  </si>
  <si>
    <t>Onenigheid met anderen</t>
  </si>
  <si>
    <t>SQ48_VIJAND_10</t>
  </si>
  <si>
    <t>Pijn/druk op de borst</t>
  </si>
  <si>
    <t>SQ48_SOMAT_11</t>
  </si>
  <si>
    <t>Uitkijken naar dingen</t>
  </si>
  <si>
    <t>SQ48_VITAL_12</t>
  </si>
  <si>
    <t>VI. Persoonlijke factoren</t>
  </si>
  <si>
    <t>Doodsgedachten/TS</t>
  </si>
  <si>
    <t>SQ48_DEPR_13</t>
  </si>
  <si>
    <t>Niet alleen openbaar vervoer</t>
  </si>
  <si>
    <t>SQ48_AGORA_14</t>
  </si>
  <si>
    <t>Geen voldoening van werk</t>
  </si>
  <si>
    <t>SQ48_WERK_15</t>
  </si>
  <si>
    <t>Zomaar opvliegend zijn</t>
  </si>
  <si>
    <t>SQ48_VIJAND_16</t>
  </si>
  <si>
    <t>Duizelig voelen</t>
  </si>
  <si>
    <t>SQ48_SOMAT_17</t>
  </si>
  <si>
    <t>Zin om dingen te doen</t>
  </si>
  <si>
    <t>SQ48_VITAL_18</t>
  </si>
  <si>
    <t>Geen zin in het leven</t>
  </si>
  <si>
    <t>SQ48_DEPR_19</t>
  </si>
  <si>
    <t>Gevoel teveel te werken</t>
  </si>
  <si>
    <t>SQ48_WERK_20</t>
  </si>
  <si>
    <t>Moeite woedebeheersing</t>
  </si>
  <si>
    <t>SQ48_VIJAND_21</t>
  </si>
  <si>
    <t>Tintelingen bv handen</t>
  </si>
  <si>
    <t>SQ48_SOMAT_22</t>
  </si>
  <si>
    <t>Moeilijk mening uiten</t>
  </si>
  <si>
    <t>SQ48_SOCFOB_23</t>
  </si>
  <si>
    <t>Bang of angstig voelen</t>
  </si>
  <si>
    <t>SQ48_ANGST_24</t>
  </si>
  <si>
    <t>Niet alleen naar drukke winkel</t>
  </si>
  <si>
    <t>SQ48_AGORA_25</t>
  </si>
  <si>
    <t>Trilde of beefde</t>
  </si>
  <si>
    <t>SQ48_SOMAT_26</t>
  </si>
  <si>
    <t>Bang voor afwijzing in groep</t>
  </si>
  <si>
    <t>SQ48_SOCFOB_27</t>
  </si>
  <si>
    <t>Schrikachtig zijn</t>
  </si>
  <si>
    <t>SQ48_ANGST_28</t>
  </si>
  <si>
    <t>Optimistisch over toekomst</t>
  </si>
  <si>
    <t>SQ48_VITAL_29</t>
  </si>
  <si>
    <t>Minder hard werken/studeren</t>
  </si>
  <si>
    <t>SQ48_WERK_30</t>
  </si>
  <si>
    <t>Rillerig voelen</t>
  </si>
  <si>
    <t>SQ48_SOMAT_31</t>
  </si>
  <si>
    <t>Minder dan anderen voelen</t>
  </si>
  <si>
    <t>SQ48_SOCFOB_32</t>
  </si>
  <si>
    <t>Zenuwachtig/nerveus zijn</t>
  </si>
  <si>
    <t>SQ48_ANGST_33</t>
  </si>
  <si>
    <t>Plannen/zichzelf doelen stellen</t>
  </si>
  <si>
    <t>SQ48_VITAL_34</t>
  </si>
  <si>
    <t>Werk/studieproblemen</t>
  </si>
  <si>
    <t>SQ48_WERK_35</t>
  </si>
  <si>
    <t>Ongemakkelijk door anderen</t>
  </si>
  <si>
    <t>SQ48_SOCFOB_36</t>
  </si>
  <si>
    <t>Interesse in dingen</t>
  </si>
  <si>
    <t>SQ48_VITAL_37</t>
  </si>
  <si>
    <t>Hopeloos voelen</t>
  </si>
  <si>
    <t>SQ48_DEPR_38</t>
  </si>
  <si>
    <t>Vergeetachtig zijn</t>
  </si>
  <si>
    <t>SQ48_COGN_39</t>
  </si>
  <si>
    <t>Somber/depressief voelen</t>
  </si>
  <si>
    <t>SQ48_DEPR_40</t>
  </si>
  <si>
    <t>Onrustig voelen</t>
  </si>
  <si>
    <t>SQ48_ANGST_41</t>
  </si>
  <si>
    <t>Energiek/levenslustig voelen</t>
  </si>
  <si>
    <t>SQ48_VITAL_42</t>
  </si>
  <si>
    <t>Neiging te slaan</t>
  </si>
  <si>
    <t>SQ45_VIJAND_43</t>
  </si>
  <si>
    <t>Moeite om op gang te komen</t>
  </si>
  <si>
    <t>SQ48_COGN_44</t>
  </si>
  <si>
    <t>Onzeker in gezelschap</t>
  </si>
  <si>
    <t>SQ48_SOCFOB_45</t>
  </si>
  <si>
    <t>Gespannen voelen</t>
  </si>
  <si>
    <t>SQ48_ANGST_46</t>
  </si>
  <si>
    <t>Concentratieproblemen</t>
  </si>
  <si>
    <t>SQ48_COGN_47</t>
  </si>
  <si>
    <t>Piekeren</t>
  </si>
  <si>
    <t>SQ48_ANGST_48</t>
  </si>
  <si>
    <t>10 minuten concentreren</t>
  </si>
  <si>
    <t>WHODAS</t>
  </si>
  <si>
    <t>WHODAS_BEGRIJPEN_11</t>
  </si>
  <si>
    <t>Onthouden van belangrijke dingen</t>
  </si>
  <si>
    <t>WHODAS_BEGRIJPEN_12</t>
  </si>
  <si>
    <t>Oplossingen in dagelijks leven</t>
  </si>
  <si>
    <t>WHODAS_BEGRIJPEN_13</t>
  </si>
  <si>
    <t>Nieuwe taak leren</t>
  </si>
  <si>
    <t>WHODAS_BEGRIJPEN_14</t>
  </si>
  <si>
    <t>Begrijpen wat mensen zeggen</t>
  </si>
  <si>
    <t>WHODAS_BBEGRIJPEN_15</t>
  </si>
  <si>
    <t>Gesprek gaande houden</t>
  </si>
  <si>
    <t>WHODAS_BEGRIJPEN_16</t>
  </si>
  <si>
    <t>Meer dan 30 min staan</t>
  </si>
  <si>
    <t>WHODAS_MOBILITEIT_21</t>
  </si>
  <si>
    <t>Opstaan uit zit</t>
  </si>
  <si>
    <t>WHODAS_MOBILITEIT_22</t>
  </si>
  <si>
    <t>Verplaatsen in woning</t>
  </si>
  <si>
    <t>WHODAS_MOBILITEIT_23</t>
  </si>
  <si>
    <t>Uit huis komen</t>
  </si>
  <si>
    <t>WHODAS_MOBILITEIT_24</t>
  </si>
  <si>
    <t>Lange afstand lopen</t>
  </si>
  <si>
    <t>WHODAS_MOBILITEIT_25</t>
  </si>
  <si>
    <t>Wassen van hele lichaam</t>
  </si>
  <si>
    <t>WHODAS_ZELFZORG_31</t>
  </si>
  <si>
    <t>Zelf aankleden</t>
  </si>
  <si>
    <t>WHODAS_ZELFZORG_32</t>
  </si>
  <si>
    <t>Moeite met eten</t>
  </si>
  <si>
    <t>WHODAS_ZELFZORG_33</t>
  </si>
  <si>
    <t>Alleen zijn enkele dagen</t>
  </si>
  <si>
    <t>WHODAS_ZELFZORG_34</t>
  </si>
  <si>
    <t>Omgaan met onbekenden</t>
  </si>
  <si>
    <t>WHODAS_MENSEN_41</t>
  </si>
  <si>
    <t>Onderhouden vriendschap</t>
  </si>
  <si>
    <t>WHODAS_MENSEN_42</t>
  </si>
  <si>
    <t>Intimiteit ervaren</t>
  </si>
  <si>
    <t>WHODAS_MENSEN_43</t>
  </si>
  <si>
    <t>Nieuwe vrienden maken</t>
  </si>
  <si>
    <t>WHODAS_MENSEN_44</t>
  </si>
  <si>
    <t>Seksuele activiteit</t>
  </si>
  <si>
    <t>WHODAS_MENSEN_45</t>
  </si>
  <si>
    <t>Huishoudelijke verantwoordelijkheid</t>
  </si>
  <si>
    <t>WHODAS_ACTIVITEIT_51</t>
  </si>
  <si>
    <t>Huishouden op goede manier</t>
  </si>
  <si>
    <t>WHODAS_ACTIVITEIT_52</t>
  </si>
  <si>
    <t>Huishouden afkrijgen</t>
  </si>
  <si>
    <t>WHODAS_ACTIVITEIT_53</t>
  </si>
  <si>
    <t>Huishouden zo snel als nodig</t>
  </si>
  <si>
    <t>WHODAS_ACTIVITEIT_54</t>
  </si>
  <si>
    <t>Moeite gemeenschapsactiviteit</t>
  </si>
  <si>
    <t>WHODAS_PARTICIPATIE_61</t>
  </si>
  <si>
    <t>V. Externe Factoren</t>
  </si>
  <si>
    <t>Hoeveel moeite door hindernissen</t>
  </si>
  <si>
    <t>WHODAS_PARTICIPATIE_62</t>
  </si>
  <si>
    <t>Anderen hinderen waardig leven</t>
  </si>
  <si>
    <t>WHODAS_PARTICIPATIE_63</t>
  </si>
  <si>
    <t>Tijd aan gezondheid besteden</t>
  </si>
  <si>
    <t>WHODAS_PARTICIPATIE_64</t>
  </si>
  <si>
    <t>Neg stemming door gezondheid</t>
  </si>
  <si>
    <t>WHODAS_PARTICIPATIE_65</t>
  </si>
  <si>
    <t>Financiële problemen door gezondheid</t>
  </si>
  <si>
    <t>WHODAS_PARTICIPATIE_66</t>
  </si>
  <si>
    <t>Familiemoeilijkheden door gezondheid</t>
  </si>
  <si>
    <t>WHODAS_PARTICIPATIE_67</t>
  </si>
  <si>
    <t>Eentje dingen doen</t>
  </si>
  <si>
    <t>WHODAS_PARTICIPATIE_68</t>
  </si>
  <si>
    <t>Gezond en gelukkig</t>
  </si>
  <si>
    <t>IROC</t>
  </si>
  <si>
    <t>IROC_1</t>
  </si>
  <si>
    <t>Vaardigheden voor zelfzorg</t>
  </si>
  <si>
    <t>IROC_2</t>
  </si>
  <si>
    <t>Veilig gevoel in en rond woning</t>
  </si>
  <si>
    <t>IROC_3</t>
  </si>
  <si>
    <t>Lichamelijk gezond</t>
  </si>
  <si>
    <t>IROC_4</t>
  </si>
  <si>
    <t>Lichamelijk actief en lichaamsbeweging</t>
  </si>
  <si>
    <t>IROC_5</t>
  </si>
  <si>
    <t>Zinvol bezig</t>
  </si>
  <si>
    <t>IROC_6</t>
  </si>
  <si>
    <t>Steun van vrienden/dierbaren</t>
  </si>
  <si>
    <t>IROC_7</t>
  </si>
  <si>
    <t>Deelnemen aan groepsactiviteiten</t>
  </si>
  <si>
    <t>IROC_8</t>
  </si>
  <si>
    <t>Zelfwaardering</t>
  </si>
  <si>
    <t>IROC_9</t>
  </si>
  <si>
    <t>Zelf beslissen over leven</t>
  </si>
  <si>
    <t>IROC_10</t>
  </si>
  <si>
    <t>Eigen leven leiden</t>
  </si>
  <si>
    <t>IROC_11</t>
  </si>
  <si>
    <t>Hoopvol over de toekomst</t>
  </si>
  <si>
    <t>IROC_12</t>
  </si>
  <si>
    <t>SCORE</t>
  </si>
  <si>
    <t>Rijlabels</t>
  </si>
  <si>
    <t>Eindtotaal</t>
  </si>
  <si>
    <t>Gemiddelde van ICF score_totaal</t>
  </si>
  <si>
    <t>07. Extern</t>
  </si>
  <si>
    <t>08. Crisis</t>
  </si>
  <si>
    <t>09. Zingeving/purpose</t>
  </si>
  <si>
    <t>I. (Omgeving)</t>
  </si>
  <si>
    <t>II. (DSM)</t>
  </si>
  <si>
    <t>III. Functies/Anatomisch</t>
  </si>
  <si>
    <t>IV. Activiteiten</t>
  </si>
  <si>
    <t>V. Participatie</t>
  </si>
  <si>
    <t>VI. Externe factoren</t>
  </si>
  <si>
    <t>VII. Persoonlijke factoren</t>
  </si>
  <si>
    <t>Dagelijkse werk/school</t>
  </si>
  <si>
    <t>WHODAS_ACTIVITEIT_55</t>
  </si>
  <si>
    <t>Werk/school op goede manier</t>
  </si>
  <si>
    <t>WHODAS_ACTIVITEIT_56</t>
  </si>
  <si>
    <t>Werk/school afkrijgen</t>
  </si>
  <si>
    <t>WHODAS_ACTIVITEIT_57</t>
  </si>
  <si>
    <t>Werk/school zo snel als nodig</t>
  </si>
  <si>
    <t>WHODAS_ACTIVITEIT_58</t>
  </si>
  <si>
    <t>IROC_67</t>
  </si>
  <si>
    <t>IROC_68</t>
  </si>
  <si>
    <t>IROC_1a</t>
  </si>
  <si>
    <t>IROC_1b</t>
  </si>
  <si>
    <t>IROC_1c</t>
  </si>
  <si>
    <t>IROC_1d</t>
  </si>
  <si>
    <t>IROC_1e</t>
  </si>
  <si>
    <t>IROC_1f</t>
  </si>
  <si>
    <t>IROC_1g</t>
  </si>
  <si>
    <t>IROC_1h</t>
  </si>
  <si>
    <t>Stemming positief</t>
  </si>
  <si>
    <t>Zorgen gemaakt</t>
  </si>
  <si>
    <t>Gespannen en angstig</t>
  </si>
  <si>
    <t>Concentreren</t>
  </si>
  <si>
    <t>Goed gevoel zelf</t>
  </si>
  <si>
    <t>Iets nieuws proberen</t>
  </si>
  <si>
    <t>Goed geslapen</t>
  </si>
  <si>
    <t>Uit kunnen kijken</t>
  </si>
  <si>
    <t>IROC_2a</t>
  </si>
  <si>
    <t>IROC_2b</t>
  </si>
  <si>
    <t>IROC_2c</t>
  </si>
  <si>
    <t>IROC_2d</t>
  </si>
  <si>
    <t>IROC_2e</t>
  </si>
  <si>
    <t>IROC_2f</t>
  </si>
  <si>
    <t>IROC_2g</t>
  </si>
  <si>
    <t>Voor uzelf zorgen</t>
  </si>
  <si>
    <t>Voor uw huis zorgen</t>
  </si>
  <si>
    <t>Geld budgetteren</t>
  </si>
  <si>
    <t>Rekeningen betalen</t>
  </si>
  <si>
    <t>Afspraken maken en nakomen</t>
  </si>
  <si>
    <t>Boodschappen doen</t>
  </si>
  <si>
    <t>Gezonde maaltijden eten en maken</t>
  </si>
  <si>
    <t>IROC_3a</t>
  </si>
  <si>
    <t>IROC_3b</t>
  </si>
  <si>
    <t>IROC_3c</t>
  </si>
  <si>
    <t>IROC_3d</t>
  </si>
  <si>
    <t>IROC_3e</t>
  </si>
  <si>
    <t>Veilig voelen thuis</t>
  </si>
  <si>
    <t>Ontspannen thuis</t>
  </si>
  <si>
    <t>Prettig waar ik woon</t>
  </si>
  <si>
    <t>Huis schoonhouden</t>
  </si>
  <si>
    <t>Opschieten met buren</t>
  </si>
  <si>
    <t>IROC_4a</t>
  </si>
  <si>
    <t>IROC_4b</t>
  </si>
  <si>
    <t>IROC_4c</t>
  </si>
  <si>
    <t>IROC_4d</t>
  </si>
  <si>
    <t>IROC_4e</t>
  </si>
  <si>
    <t>IROC_4f</t>
  </si>
  <si>
    <t>IROC_4g</t>
  </si>
  <si>
    <t>IROC_4h</t>
  </si>
  <si>
    <t>Gezond gegeten</t>
  </si>
  <si>
    <t>Verandering in alcohol of roken</t>
  </si>
  <si>
    <t>Pijn gehad</t>
  </si>
  <si>
    <t>Regelmatig medicatie</t>
  </si>
  <si>
    <t>Medicatie werkt</t>
  </si>
  <si>
    <t>Gewicht veranderd</t>
  </si>
  <si>
    <t>Tevreden met seksleven</t>
  </si>
  <si>
    <t>IROC_5a</t>
  </si>
  <si>
    <t>IROC_5b</t>
  </si>
  <si>
    <t>IROC_5c</t>
  </si>
  <si>
    <t>IROC_5d</t>
  </si>
  <si>
    <t>IROC_5e</t>
  </si>
  <si>
    <t>IROC_5f</t>
  </si>
  <si>
    <t>IROC_5g</t>
  </si>
  <si>
    <t>IROC_5h</t>
  </si>
  <si>
    <t>Lichaamsbeweging</t>
  </si>
  <si>
    <t>Regelmatig lopen of wandelen</t>
  </si>
  <si>
    <t>Sportlessen</t>
  </si>
  <si>
    <t>Thuis bewegen</t>
  </si>
  <si>
    <t>Huishouden/tuin doen</t>
  </si>
  <si>
    <t>Zwemmen</t>
  </si>
  <si>
    <t>Naar de winkel lopen</t>
  </si>
  <si>
    <t>Algemeen actief</t>
  </si>
  <si>
    <t>IROC_6a</t>
  </si>
  <si>
    <t>IROC_6b</t>
  </si>
  <si>
    <t>IROC_6c</t>
  </si>
  <si>
    <t>IROC_6d</t>
  </si>
  <si>
    <t>IROC_6e</t>
  </si>
  <si>
    <t>IROC_6f</t>
  </si>
  <si>
    <t>IROC_6g</t>
  </si>
  <si>
    <t>Regelmatig werk/activiteiten</t>
  </si>
  <si>
    <t>Lessen/scholing</t>
  </si>
  <si>
    <t>Dagen hebben zin</t>
  </si>
  <si>
    <t>Zat geweest/verveeld</t>
  </si>
  <si>
    <t>Plannen gemaakt</t>
  </si>
  <si>
    <t>Meeste dagen druk gehad</t>
  </si>
  <si>
    <t>Dagen zinvol doorgebra²cht</t>
  </si>
  <si>
    <t>IROC_7a</t>
  </si>
  <si>
    <t>IROC_7b</t>
  </si>
  <si>
    <t>IROC_7c</t>
  </si>
  <si>
    <t>IROC_7d</t>
  </si>
  <si>
    <t>IROC_7e</t>
  </si>
  <si>
    <t>Terecht kunnen bij anderen</t>
  </si>
  <si>
    <t>Tijd doorgebracht met belangrijke anderen</t>
  </si>
  <si>
    <t>Leuke tijd gehad met anderen</t>
  </si>
  <si>
    <t>Gesteund gevoeld</t>
  </si>
  <si>
    <t>Zelf anderen gesteund</t>
  </si>
  <si>
    <r>
      <rPr>
        <sz val="11"/>
        <color indexed="55"/>
        <rFont val="Aptos Narrow"/>
      </rPr>
      <t xml:space="preserve"> Hoe heeft u uw tijd doorgebracht? /</t>
    </r>
    <r>
      <rPr>
        <sz val="11"/>
        <color indexed="10"/>
        <rFont val="Aptos Narrow"/>
        <family val="2"/>
      </rPr>
      <t xml:space="preserve"> Heeft u uw tijd alleen doorgebracht?</t>
    </r>
  </si>
  <si>
    <t xml:space="preserve"> Heeft u tijd doorgebracht met vrienden/familie/anderen? </t>
  </si>
  <si>
    <t xml:space="preserve">Bent u naar plaatsen geweest waar u andere mensen heeft ontmoet? </t>
  </si>
  <si>
    <t xml:space="preserve"> Hoort u bij een club of groep? </t>
  </si>
  <si>
    <t xml:space="preserve"> Bent u naar een evenement geweest? </t>
  </si>
  <si>
    <t xml:space="preserve"> Heeft u onlangs tijd gehad voor plezier/amusement? </t>
  </si>
  <si>
    <t>IROC_69</t>
  </si>
  <si>
    <t>IROC_70</t>
  </si>
  <si>
    <t>IROC_71</t>
  </si>
  <si>
    <t>IROC_72</t>
  </si>
  <si>
    <t>IROC_73</t>
  </si>
  <si>
    <t>IROC_74</t>
  </si>
  <si>
    <t>IROC_75</t>
  </si>
  <si>
    <t>IROC_76</t>
  </si>
  <si>
    <t>IROC_77</t>
  </si>
  <si>
    <t>IROC_78</t>
  </si>
  <si>
    <t>IROC_79</t>
  </si>
  <si>
    <t>IROC_80</t>
  </si>
  <si>
    <t>IROC_81</t>
  </si>
  <si>
    <t>IROC_82</t>
  </si>
  <si>
    <t>IROC_83</t>
  </si>
  <si>
    <t>IROC_84</t>
  </si>
  <si>
    <t>IROC_85</t>
  </si>
  <si>
    <t>IROC_86</t>
  </si>
  <si>
    <t>IROC_87</t>
  </si>
  <si>
    <t>IROC_88</t>
  </si>
  <si>
    <t>IROC_89</t>
  </si>
  <si>
    <t>IROC_90</t>
  </si>
  <si>
    <t>IROC_91</t>
  </si>
  <si>
    <t>IROC_92</t>
  </si>
  <si>
    <t>IROC_93</t>
  </si>
  <si>
    <t>IROC_94</t>
  </si>
  <si>
    <t>IROC_95</t>
  </si>
  <si>
    <t>IROC_96</t>
  </si>
  <si>
    <t>IROC_97</t>
  </si>
  <si>
    <t>IROC_98</t>
  </si>
  <si>
    <t>IROC_99</t>
  </si>
  <si>
    <t>IROC_100</t>
  </si>
  <si>
    <t>IROC_101</t>
  </si>
  <si>
    <t>IROC_102</t>
  </si>
  <si>
    <t>IROC_103</t>
  </si>
  <si>
    <t>IROC_8a</t>
  </si>
  <si>
    <t>IROC_8b</t>
  </si>
  <si>
    <t>IROC_8c</t>
  </si>
  <si>
    <t>IROC_8e</t>
  </si>
  <si>
    <t>IROC_8f</t>
  </si>
  <si>
    <t>IROC_8d</t>
  </si>
  <si>
    <t>Tijd alleen doorgebracht</t>
  </si>
  <si>
    <t>Tijd met anderen doorgebracht</t>
  </si>
  <si>
    <t>Bij club/groep horen</t>
  </si>
  <si>
    <t>Naar een evenement geweest</t>
  </si>
  <si>
    <t>Tijd gehad voor plezier en amusement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</si>
</sst>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scheme val="minor"/>
    </font>
    <font>
      <sz val="11"/>
      <color indexed="55"/>
      <name val="Aptos Narrow"/>
    </font>
    <font>
      <sz val="11"/>
      <color indexed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AE777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0" fillId="2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2" fillId="0" borderId="7" xfId="0" applyFont="1" applyBorder="1" applyAlignment="1">
      <alignment vertical="center" wrapText="1"/>
    </xf>
    <xf numFmtId="0" fontId="0" fillId="4" borderId="6" xfId="0" applyFill="1" applyBorder="1"/>
    <xf numFmtId="0" fontId="0" fillId="3" borderId="6" xfId="0" applyFill="1" applyBorder="1"/>
    <xf numFmtId="0" fontId="0" fillId="0" borderId="10" xfId="0" applyFill="1" applyBorder="1"/>
    <xf numFmtId="0" fontId="0" fillId="0" borderId="0" xfId="0" applyFill="1"/>
    <xf numFmtId="0" fontId="0" fillId="0" borderId="9" xfId="0" applyFill="1" applyBorder="1"/>
    <xf numFmtId="0" fontId="0" fillId="0" borderId="4" xfId="0" applyFill="1" applyBorder="1"/>
    <xf numFmtId="0" fontId="2" fillId="0" borderId="2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0" xfId="0" applyFont="1"/>
  </cellXfs>
  <cellStyles count="1">
    <cellStyle name="Standaard" xfId="0" builtinId="0"/>
  </cellStyles>
  <dxfs count="4">
    <dxf>
      <fill>
        <patternFill>
          <bgColor rgb="FF63BE7B"/>
        </patternFill>
      </fill>
    </dxf>
    <dxf>
      <fill>
        <patternFill>
          <bgColor rgb="FFD6F08C"/>
        </patternFill>
      </fill>
    </dxf>
    <dxf>
      <fill>
        <patternFill>
          <bgColor rgb="FFFDB96F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mruColors>
      <color rgb="FF63BE7B"/>
      <color rgb="FFD6F08C"/>
      <color rgb="FFFDB96F"/>
      <color rgb="FFF8696B"/>
      <color rgb="FFDAE777"/>
      <color rgb="FF18F099"/>
      <color rgb="FFAFF3D7"/>
      <color rgb="FFF8B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Table" Target="pivotTables/pivotTabl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II. Functies/anatomisch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01. Stress/negatief affect</c:v>
              </c:pt>
              <c:pt idx="1">
                <c:v>02. Stemming/positief affect</c:v>
              </c:pt>
              <c:pt idx="2">
                <c:v>03. Denken/cognitief</c:v>
              </c:pt>
              <c:pt idx="3">
                <c:v>04. Sociaal/affiliatief</c:v>
              </c:pt>
              <c:pt idx="4">
                <c:v>05. Lichaam/regulatie</c:v>
              </c:pt>
              <c:pt idx="5">
                <c:v>06. Activatie/sensorimotorisch</c:v>
              </c:pt>
              <c:pt idx="6">
                <c:v>07. Extern</c:v>
              </c:pt>
              <c:pt idx="7">
                <c:v>08. Crisis</c:v>
              </c:pt>
              <c:pt idx="8">
                <c:v>09. Zingeving/purpose</c:v>
              </c:pt>
            </c:strLit>
          </c:cat>
          <c:val>
            <c:numLit>
              <c:formatCode>0.0</c:formatCode>
              <c:ptCount val="9"/>
              <c:pt idx="0">
                <c:v>3.5</c:v>
              </c:pt>
              <c:pt idx="1">
                <c:v>2.6666666666666665</c:v>
              </c:pt>
              <c:pt idx="2">
                <c:v>3</c:v>
              </c:pt>
              <c:pt idx="3">
                <c:v>2.7142857142857144</c:v>
              </c:pt>
              <c:pt idx="4">
                <c:v>1.4</c:v>
              </c:pt>
              <c:pt idx="5">
                <c:v>2.3333333333333335</c:v>
              </c:pt>
            </c:numLit>
          </c:val>
          <c:extLst>
            <c:ext xmlns:c16="http://schemas.microsoft.com/office/drawing/2014/chart" uri="{C3380CC4-5D6E-409C-BE32-E72D297353CC}">
              <c16:uniqueId val="{00000001-7D59-4692-8826-A70EACE70BEB}"/>
            </c:ext>
          </c:extLst>
        </c:ser>
        <c:ser>
          <c:idx val="1"/>
          <c:order val="1"/>
          <c:tx>
            <c:v>III. Activiteiten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01. Stress/negatief affect</c:v>
              </c:pt>
              <c:pt idx="1">
                <c:v>02. Stemming/positief affect</c:v>
              </c:pt>
              <c:pt idx="2">
                <c:v>03. Denken/cognitief</c:v>
              </c:pt>
              <c:pt idx="3">
                <c:v>04. Sociaal/affiliatief</c:v>
              </c:pt>
              <c:pt idx="4">
                <c:v>05. Lichaam/regulatie</c:v>
              </c:pt>
              <c:pt idx="5">
                <c:v>06. Activatie/sensorimotorisch</c:v>
              </c:pt>
              <c:pt idx="6">
                <c:v>07. Extern</c:v>
              </c:pt>
              <c:pt idx="7">
                <c:v>08. Crisis</c:v>
              </c:pt>
              <c:pt idx="8">
                <c:v>09. Zingeving/purpose</c:v>
              </c:pt>
            </c:strLit>
          </c:cat>
          <c:val>
            <c:numLit>
              <c:formatCode>0.0</c:formatCode>
              <c:ptCount val="9"/>
              <c:pt idx="0">
                <c:v>2.3333333333333335</c:v>
              </c:pt>
              <c:pt idx="1">
                <c:v>2</c:v>
              </c:pt>
              <c:pt idx="2">
                <c:v>2.4</c:v>
              </c:pt>
              <c:pt idx="3">
                <c:v>2.2857142857142856</c:v>
              </c:pt>
              <c:pt idx="4">
                <c:v>2.25</c:v>
              </c:pt>
              <c:pt idx="5">
                <c:v>1.4285714285714286</c:v>
              </c:pt>
            </c:numLit>
          </c:val>
          <c:extLst>
            <c:ext xmlns:c16="http://schemas.microsoft.com/office/drawing/2014/chart" uri="{C3380CC4-5D6E-409C-BE32-E72D297353CC}">
              <c16:uniqueId val="{00000002-7D59-4692-8826-A70EACE70BEB}"/>
            </c:ext>
          </c:extLst>
        </c:ser>
        <c:ser>
          <c:idx val="2"/>
          <c:order val="2"/>
          <c:tx>
            <c:v>IV. Participatie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01. Stress/negatief affect</c:v>
              </c:pt>
              <c:pt idx="1">
                <c:v>02. Stemming/positief affect</c:v>
              </c:pt>
              <c:pt idx="2">
                <c:v>03. Denken/cognitief</c:v>
              </c:pt>
              <c:pt idx="3">
                <c:v>04. Sociaal/affiliatief</c:v>
              </c:pt>
              <c:pt idx="4">
                <c:v>05. Lichaam/regulatie</c:v>
              </c:pt>
              <c:pt idx="5">
                <c:v>06. Activatie/sensorimotorisch</c:v>
              </c:pt>
              <c:pt idx="6">
                <c:v>07. Extern</c:v>
              </c:pt>
              <c:pt idx="7">
                <c:v>08. Crisis</c:v>
              </c:pt>
              <c:pt idx="8">
                <c:v>09. Zingeving/purpose</c:v>
              </c:pt>
            </c:strLit>
          </c:cat>
          <c:val>
            <c:numLit>
              <c:formatCode>0.0</c:formatCode>
              <c:ptCount val="9"/>
              <c:pt idx="0">
                <c:v>1.5</c:v>
              </c:pt>
              <c:pt idx="1">
                <c:v>3</c:v>
              </c:pt>
              <c:pt idx="2">
                <c:v>3</c:v>
              </c:pt>
              <c:pt idx="3">
                <c:v>3.6666666666666665</c:v>
              </c:pt>
              <c:pt idx="4">
                <c:v>2</c:v>
              </c:pt>
              <c:pt idx="5">
                <c:v>2.8</c:v>
              </c:pt>
            </c:numLit>
          </c:val>
          <c:extLst>
            <c:ext xmlns:c16="http://schemas.microsoft.com/office/drawing/2014/chart" uri="{C3380CC4-5D6E-409C-BE32-E72D297353CC}">
              <c16:uniqueId val="{00000003-7D59-4692-8826-A70EACE70BEB}"/>
            </c:ext>
          </c:extLst>
        </c:ser>
        <c:ser>
          <c:idx val="3"/>
          <c:order val="3"/>
          <c:tx>
            <c:v>V. Externe Factoren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01. Stress/negatief affect</c:v>
              </c:pt>
              <c:pt idx="1">
                <c:v>02. Stemming/positief affect</c:v>
              </c:pt>
              <c:pt idx="2">
                <c:v>03. Denken/cognitief</c:v>
              </c:pt>
              <c:pt idx="3">
                <c:v>04. Sociaal/affiliatief</c:v>
              </c:pt>
              <c:pt idx="4">
                <c:v>05. Lichaam/regulatie</c:v>
              </c:pt>
              <c:pt idx="5">
                <c:v>06. Activatie/sensorimotorisch</c:v>
              </c:pt>
              <c:pt idx="6">
                <c:v>07. Extern</c:v>
              </c:pt>
              <c:pt idx="7">
                <c:v>08. Crisis</c:v>
              </c:pt>
              <c:pt idx="8">
                <c:v>09. Zingeving/purpose</c:v>
              </c:pt>
            </c:strLit>
          </c:cat>
          <c:val>
            <c:numLit>
              <c:formatCode>0.0</c:formatCode>
              <c:ptCount val="9"/>
              <c:pt idx="6">
                <c:v>3.1428571428571428</c:v>
              </c:pt>
            </c:numLit>
          </c:val>
          <c:extLst>
            <c:ext xmlns:c16="http://schemas.microsoft.com/office/drawing/2014/chart" uri="{C3380CC4-5D6E-409C-BE32-E72D297353CC}">
              <c16:uniqueId val="{00000004-7D59-4692-8826-A70EACE70BEB}"/>
            </c:ext>
          </c:extLst>
        </c:ser>
        <c:ser>
          <c:idx val="4"/>
          <c:order val="4"/>
          <c:tx>
            <c:v>VI. Persoonlijke factoren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01. Stress/negatief affect</c:v>
              </c:pt>
              <c:pt idx="1">
                <c:v>02. Stemming/positief affect</c:v>
              </c:pt>
              <c:pt idx="2">
                <c:v>03. Denken/cognitief</c:v>
              </c:pt>
              <c:pt idx="3">
                <c:v>04. Sociaal/affiliatief</c:v>
              </c:pt>
              <c:pt idx="4">
                <c:v>05. Lichaam/regulatie</c:v>
              </c:pt>
              <c:pt idx="5">
                <c:v>06. Activatie/sensorimotorisch</c:v>
              </c:pt>
              <c:pt idx="6">
                <c:v>07. Extern</c:v>
              </c:pt>
              <c:pt idx="7">
                <c:v>08. Crisis</c:v>
              </c:pt>
              <c:pt idx="8">
                <c:v>09. Zingeving/purpose</c:v>
              </c:pt>
            </c:strLit>
          </c:cat>
          <c:val>
            <c:numLit>
              <c:formatCode>0.0</c:formatCode>
              <c:ptCount val="9"/>
              <c:pt idx="7">
                <c:v>2</c:v>
              </c:pt>
              <c:pt idx="8">
                <c:v>2.6</c:v>
              </c:pt>
            </c:numLit>
          </c:val>
          <c:extLst>
            <c:ext xmlns:c16="http://schemas.microsoft.com/office/drawing/2014/chart" uri="{C3380CC4-5D6E-409C-BE32-E72D297353CC}">
              <c16:uniqueId val="{00000005-7D59-4692-8826-A70EACE70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595936"/>
        <c:axId val="877592192"/>
      </c:barChart>
      <c:catAx>
        <c:axId val="877595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87759219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775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877595936"/>
        <c:crosses val="autoZero"/>
        <c:crossBetween val="between"/>
        <c:extLst>
          <c:ext xmlns:c15="http://schemas.microsoft.com/office/drawing/2012/chart" uri="{F40574EE-89B7-4290-83BB-5DA773EAF853}">
            <c15:numFmt c:formatCode="0.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sm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userShapes r:id="rId3"/>
  <c:extLst>
    <c:ext xmlns:c15="http://schemas.microsoft.com/office/drawing/2012/chart" uri="{723BEF56-08C2-4564-9609-F4CBC75E7E54}">
      <c15:pivotSource>
        <c15:name>[Bilan testbaren + werk.xlsx]PivotChartTable2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114300</xdr:rowOff>
    </xdr:from>
    <xdr:to>
      <xdr:col>17</xdr:col>
      <xdr:colOff>7620</xdr:colOff>
      <xdr:row>32</xdr:row>
      <xdr:rowOff>15240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BC2E42F-5ACB-442B-B717-B2BF28E64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0.08528</cdr:x>
      <cdr:y>0.3351</cdr:y>
    </cdr:from>
    <cdr:to>
      <cdr:x>0.80209</cdr:x>
      <cdr:y>0.33642</cdr:y>
    </cdr:to>
    <cdr:cxnSp macro="">
      <cdr:nvCxnSpPr>
        <cdr:cNvPr id="3" name="Rechte verbindingslijn 2">
          <a:extLst xmlns:a="http://schemas.openxmlformats.org/drawingml/2006/main">
            <a:ext uri="{FF2B5EF4-FFF2-40B4-BE49-F238E27FC236}">
              <a16:creationId xmlns:a16="http://schemas.microsoft.com/office/drawing/2014/main" id="{BE1284CF-3C2F-40FE-A1DE-4D803C6DDFF1}"/>
            </a:ext>
          </a:extLst>
        </cdr:cNvPr>
        <cdr:cNvCxnSpPr/>
      </cdr:nvCxnSpPr>
      <cdr:spPr>
        <a:xfrm xmlns:a="http://schemas.openxmlformats.org/drawingml/2006/main">
          <a:off x="807720" y="1927860"/>
          <a:ext cx="6789420" cy="762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h Boddewyn" refreshedDate="45631.429556134259" backgroundQuery="1" createdVersion="7" refreshedVersion="7" minRefreshableVersion="3" recordCount="0" supportSubquery="1" supportAdvancedDrill="1" xr:uid="{C20E663B-62E2-421E-B71B-382365DF396D}">
  <cacheSource type="external" connectionId="1"/>
  <cacheFields count="4">
    <cacheField name="[Bereik].[ICF_groep].[ICF_groep]" caption="ICF_groep" numFmtId="0" level="1">
      <sharedItems count="5">
        <s v="II. Functies/anatomisch"/>
        <s v="III. Activiteiten"/>
        <s v="IV. Participatie"/>
        <s v="V. Externe Factoren"/>
        <s v="VI. Persoonlijke factoren"/>
      </sharedItems>
    </cacheField>
    <cacheField name="[Bereik].[ICF_subgroep].[ICF_subgroep]" caption="ICF_subgroep" numFmtId="0" hierarchy="1" level="1">
      <sharedItems count="9">
        <s v="01. Stress/negatief affect"/>
        <s v="02. Stemming/positief affect"/>
        <s v="03. Denken/cognitief"/>
        <s v="04. Sociaal/affiliatief"/>
        <s v="05. Lichaam/regulatie"/>
        <s v="06. Activatie/sensorimotorisch"/>
        <s v="07. Extern"/>
        <s v="08. Crisis"/>
        <s v="09. Zingeving/purpose"/>
      </sharedItems>
    </cacheField>
    <cacheField name="[Bereik].[ICF_itemomschrijving].[ICF_itemomschrijving]" caption="ICF_itemomschrijving" numFmtId="0" hierarchy="2" level="1">
      <sharedItems count="96">
        <s v="Bang of angstig voelen"/>
        <s v="Gespannen voelen"/>
        <s v="Schrikachtig zijn"/>
        <s v="Zenuwachtig/nerveus zijn"/>
        <s v="Hopeloos voelen"/>
        <s v="Ontevreden zijn"/>
        <s v="Somber/depressief voelen"/>
        <s v="10 minuten concentreren"/>
        <s v="Concentratieproblemen"/>
        <s v="Vergeetachtig zijn"/>
        <s v="Intimiteit ervaren"/>
        <s v="Minder dan anderen voelen"/>
        <s v="Neiging te slaan"/>
        <s v="Ongemakkelijk door anderen"/>
        <s v="Onzeker in gezelschap"/>
        <s v="Plannen/zichzelf doelen stellen"/>
        <s v="Zelfwaardering"/>
        <s v="Hartkloppingen"/>
        <s v="Kortademig zonder inspanning"/>
        <s v="Pijn/druk op de borst"/>
        <s v="Rillerig voelen"/>
        <s v="Tintelingen bv handen"/>
        <s v="Energiek/levenslustig voelen"/>
        <s v="Moeite om op gang te komen"/>
        <s v="Vertraagd of langzaam voelen"/>
        <s v="Angstig in menigte zijn"/>
        <s v="Moeite woedebeheersing"/>
        <s v="Piekeren"/>
        <s v="Interesse in dingen"/>
        <s v="Niet kunnen genieten"/>
        <s v="Uitkijken naar dingen"/>
        <s v="Huishouden op goede manier"/>
        <s v="Nieuwe taak leren"/>
        <s v="Onthouden van belangrijke dingen"/>
        <s v="Werk/school op goede manier"/>
        <s v="Zelf aankleden"/>
        <s v="Alleen zijn enkele dagen"/>
        <s v="Bang voor afwijzing in groep"/>
        <s v="Eentje dingen doen"/>
        <s v="Gesprek gaande houden"/>
        <s v="Moeilijk mening uiten"/>
        <s v="Omgaan met onbekenden"/>
        <s v="Onenigheid met anderen"/>
        <s v="Duizelig voelen"/>
        <s v="Lichamelijk gezond"/>
        <s v="Onrustig voelen"/>
        <s v="Vaardigheden voor zelfzorg"/>
        <s v="Huishouden zo snel als nodig"/>
        <s v="Lange afstand lopen"/>
        <s v="Lichamelijk actief en lichaamsbeweging"/>
        <s v="Meer dan 30 min staan"/>
        <s v="Opstaan uit zit"/>
        <s v="Verplaatsen in woning"/>
        <s v="Werk/school zo snel als nodig"/>
        <s v="Moeite met open ruimtes"/>
        <s v="Niet alleen naar drukke winkel"/>
        <s v="Niet alleen openbaar vervoer"/>
        <s v="Zomaar opvliegend zijn"/>
        <s v="Geen voldoening van werk"/>
        <s v="Moeite met beslissingen"/>
        <s v="Zin om dingen te doen"/>
        <s v="Begrijpen wat mensen zeggen"/>
        <s v="Dagelijkse werk/school"/>
        <s v="Huishoudelijke verantwoordelijkheid"/>
        <s v="Oplossingen in dagelijks leven"/>
        <s v="Stress op werk of studie"/>
        <s v="Werk/studieproblemen"/>
        <s v="Deelnemen aan groepsactiviteiten"/>
        <s v="Moeite gemeenschapsactiviteit"/>
        <s v="Nieuwe vrienden maken"/>
        <s v="Onderhouden vriendschap"/>
        <s v="Seksuele activiteit"/>
        <s v="Zelf beslissen over leven"/>
        <s v="Moeite met eten"/>
        <s v="Trilde of beefde"/>
        <s v="Wassen van hele lichaam"/>
        <s v="Gevoel teveel te werken"/>
        <s v="Huishouden afkrijgen"/>
        <s v="Minder hard werken/studeren"/>
        <s v="Uit huis komen"/>
        <s v="Werk/school afkrijgen"/>
        <s v="Anderen hinderen waardig leven"/>
        <s v="Familiemoeilijkheden door gezondheid"/>
        <s v="Financiële problemen door gezondheid"/>
        <s v="Hoeveel moeite door hindernissen"/>
        <s v="Steun van vrienden/dierbaren"/>
        <s v="Tijd aan gezondheid besteden"/>
        <s v="Veilig gevoel in en rond woning"/>
        <s v="Doodsgedachten/TS"/>
        <s v="Gezond en gelukkig"/>
        <s v="Neg stemming door gezondheid"/>
        <s v="Eigen leven leiden"/>
        <s v="Geen zin in het leven"/>
        <s v="Hoopvol over de toekomst"/>
        <s v="Optimistisch over toekomst"/>
        <s v="Zinvol bezig"/>
      </sharedItems>
    </cacheField>
    <cacheField name="[Measures].[Gemiddelde van ICF score_totaal]" caption="Gemiddelde van ICF score_totaal" numFmtId="0" hierarchy="13" level="32767"/>
  </cacheFields>
  <cacheHierarchies count="14">
    <cacheHierarchy uniqueName="[Bereik].[ICF_groep]" caption="ICF_groep" attribute="1" defaultMemberUniqueName="[Bereik].[ICF_groep].[All]" allUniqueName="[Bereik].[ICF_groep].[All]" dimensionUniqueName="[Bereik]" displayFolder="" count="2" memberValueDatatype="130" unbalanced="0">
      <fieldsUsage count="2">
        <fieldUsage x="-1"/>
        <fieldUsage x="0"/>
      </fieldsUsage>
    </cacheHierarchy>
    <cacheHierarchy uniqueName="[Bereik].[ICF_subgroep]" caption="ICF_subgroep" attribute="1" defaultMemberUniqueName="[Bereik].[ICF_subgroep].[All]" allUniqueName="[Bereik].[ICF_subgroep].[All]" dimensionUniqueName="[Bereik]" displayFolder="" count="2" memberValueDatatype="130" unbalanced="0">
      <fieldsUsage count="2">
        <fieldUsage x="-1"/>
        <fieldUsage x="1"/>
      </fieldsUsage>
    </cacheHierarchy>
    <cacheHierarchy uniqueName="[Bereik].[ICF_itemomschrijving]" caption="ICF_itemomschrijving" attribute="1" defaultMemberUniqueName="[Bereik].[ICF_itemomschrijving].[All]" allUniqueName="[Bereik].[ICF_itemomschrijving].[All]" dimensionUniqueName="[Bereik]" displayFolder="" count="2" memberValueDatatype="130" unbalanced="0">
      <fieldsUsage count="2">
        <fieldUsage x="-1"/>
        <fieldUsage x="2"/>
      </fieldsUsage>
    </cacheHierarchy>
    <cacheHierarchy uniqueName="[Bereik].[Schaal origineel]" caption="Schaal origineel" attribute="1" defaultMemberUniqueName="[Bereik].[Schaal origineel].[All]" allUniqueName="[Bereik].[Schaal origineel].[All]" dimensionUniqueName="[Bereik]" displayFolder="" count="0" memberValueDatatype="130" unbalanced="0"/>
    <cacheHierarchy uniqueName="[Bereik].[Schaalcode]" caption="Schaalcode" attribute="1" defaultMemberUniqueName="[Bereik].[Schaalcode].[All]" allUniqueName="[Bereik].[Schaalcode].[All]" dimensionUniqueName="[Bereik]" displayFolder="" count="0" memberValueDatatype="130" unbalanced="0"/>
    <cacheHierarchy uniqueName="[Bereik].[SCORE]" caption="SCORE" attribute="1" defaultMemberUniqueName="[Bereik].[SCORE].[All]" allUniqueName="[Bereik].[SCORE].[All]" dimensionUniqueName="[Bereik]" displayFolder="" count="0" memberValueDatatype="20" unbalanced="0"/>
    <cacheHierarchy uniqueName="[Bereik].[Cutoff (licht)]" caption="Cutoff (licht)" attribute="1" defaultMemberUniqueName="[Bereik].[Cutoff (licht)].[All]" allUniqueName="[Bereik].[Cutoff (licht)].[All]" dimensionUniqueName="[Bereik]" displayFolder="" count="0" memberValueDatatype="20" unbalanced="0"/>
    <cacheHierarchy uniqueName="[Bereik].[Cutoff matig]" caption="Cutoff matig" attribute="1" defaultMemberUniqueName="[Bereik].[Cutoff matig].[All]" allUniqueName="[Bereik].[Cutoff matig].[All]" dimensionUniqueName="[Bereik]" displayFolder="" count="0" memberValueDatatype="20" unbalanced="0"/>
    <cacheHierarchy uniqueName="[Bereik].[Cutoff ernstig]" caption="Cutoff ernstig" attribute="1" defaultMemberUniqueName="[Bereik].[Cutoff ernstig].[All]" allUniqueName="[Bereik].[Cutoff ernstig].[All]" dimensionUniqueName="[Bereik]" displayFolder="" count="0" memberValueDatatype="20" unbalanced="0"/>
    <cacheHierarchy uniqueName="[Bereik].[ICF score_totaal]" caption="ICF score_totaal" attribute="1" defaultMemberUniqueName="[Bereik].[ICF score_totaal].[All]" allUniqueName="[Bereik].[ICF score_totaal].[All]" dimensionUniqueName="[Bereik]" displayFolder="" count="0" memberValueDatatype="20" unbalanced="0"/>
    <cacheHierarchy uniqueName="[Measures].[__XL_Count Bereik]" caption="__XL_Count Bereik" measure="1" displayFolder="" measureGroup="Bereik" count="0" hidden="1"/>
    <cacheHierarchy uniqueName="[Measures].[__No measures defined]" caption="__No measures defined" measure="1" displayFolder="" count="0" hidden="1"/>
    <cacheHierarchy uniqueName="[Measures].[Som van ICF score_totaal]" caption="Som van ICF score_totaal" measure="1" displayFolder="" measureGroup="Bereik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Gemiddelde van ICF score_totaal]" caption="Gemiddelde van ICF score_totaal" measure="1" displayFolder="" measureGroup="Bereik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Bereik" uniqueName="[Bereik]" caption="Bereik"/>
    <dimension measure="1" name="Measures" uniqueName="[Measures]" caption="Measures"/>
  </dimensions>
  <measureGroups count="1">
    <measureGroup name="Bereik" caption="Berei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h Boddewyn" refreshedDate="45631.42955439815" backgroundQuery="1" createdVersion="7" refreshedVersion="7" minRefreshableVersion="3" recordCount="0" supportSubquery="1" supportAdvancedDrill="1" xr:uid="{F9FB43D8-AB0C-4A07-A591-3F901ACDF93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Bereik].[ICF_subgroep].[ICF_subgroep]" caption="ICF_subgroep" numFmtId="0" hierarchy="1" level="1">
      <sharedItems count="9">
        <s v="01. Stress/negatief affect"/>
        <s v="02. Stemming/positief affect"/>
        <s v="03. Denken/cognitief"/>
        <s v="04. Sociaal/affiliatief"/>
        <s v="05. Lichaam/regulatie"/>
        <s v="06. Activatie/sensorimotorisch"/>
        <s v="07. Extern"/>
        <s v="08. Crisis"/>
        <s v="09. Zingeving/purpose"/>
      </sharedItems>
    </cacheField>
    <cacheField name="[Bereik].[ICF_groep].[ICF_groep]" caption="ICF_groep" numFmtId="0" level="1">
      <sharedItems count="5">
        <s v="II. Functies/anatomisch"/>
        <s v="III. Activiteiten"/>
        <s v="IV. Participatie"/>
        <s v="V. Externe Factoren"/>
        <s v="VI. Persoonlijke factoren"/>
      </sharedItems>
    </cacheField>
    <cacheField name="[Measures].[Gemiddelde van ICF score_totaal]" caption="Gemiddelde van ICF score_totaal" numFmtId="0" hierarchy="13" level="32767"/>
  </cacheFields>
  <cacheHierarchies count="14">
    <cacheHierarchy uniqueName="[Bereik].[ICF_groep]" caption="ICF_groep" attribute="1" defaultMemberUniqueName="[Bereik].[ICF_groep].[All]" allUniqueName="[Bereik].[ICF_groep].[All]" dimensionUniqueName="[Bereik]" displayFolder="" count="2" memberValueDatatype="130" unbalanced="0">
      <fieldsUsage count="2">
        <fieldUsage x="-1"/>
        <fieldUsage x="1"/>
      </fieldsUsage>
    </cacheHierarchy>
    <cacheHierarchy uniqueName="[Bereik].[ICF_subgroep]" caption="ICF_subgroep" attribute="1" defaultMemberUniqueName="[Bereik].[ICF_subgroep].[All]" allUniqueName="[Bereik].[ICF_subgroep].[All]" dimensionUniqueName="[Bereik]" displayFolder="" count="2" memberValueDatatype="130" unbalanced="0">
      <fieldsUsage count="2">
        <fieldUsage x="-1"/>
        <fieldUsage x="0"/>
      </fieldsUsage>
    </cacheHierarchy>
    <cacheHierarchy uniqueName="[Bereik].[ICF_itemomschrijving]" caption="ICF_itemomschrijving" attribute="1" defaultMemberUniqueName="[Bereik].[ICF_itemomschrijving].[All]" allUniqueName="[Bereik].[ICF_itemomschrijving].[All]" dimensionUniqueName="[Bereik]" displayFolder="" count="0" memberValueDatatype="130" unbalanced="0"/>
    <cacheHierarchy uniqueName="[Bereik].[Schaal origineel]" caption="Schaal origineel" attribute="1" defaultMemberUniqueName="[Bereik].[Schaal origineel].[All]" allUniqueName="[Bereik].[Schaal origineel].[All]" dimensionUniqueName="[Bereik]" displayFolder="" count="0" memberValueDatatype="130" unbalanced="0"/>
    <cacheHierarchy uniqueName="[Bereik].[Schaalcode]" caption="Schaalcode" attribute="1" defaultMemberUniqueName="[Bereik].[Schaalcode].[All]" allUniqueName="[Bereik].[Schaalcode].[All]" dimensionUniqueName="[Bereik]" displayFolder="" count="0" memberValueDatatype="130" unbalanced="0"/>
    <cacheHierarchy uniqueName="[Bereik].[SCORE]" caption="SCORE" attribute="1" defaultMemberUniqueName="[Bereik].[SCORE].[All]" allUniqueName="[Bereik].[SCORE].[All]" dimensionUniqueName="[Bereik]" displayFolder="" count="0" memberValueDatatype="20" unbalanced="0"/>
    <cacheHierarchy uniqueName="[Bereik].[Cutoff (licht)]" caption="Cutoff (licht)" attribute="1" defaultMemberUniqueName="[Bereik].[Cutoff (licht)].[All]" allUniqueName="[Bereik].[Cutoff (licht)].[All]" dimensionUniqueName="[Bereik]" displayFolder="" count="0" memberValueDatatype="20" unbalanced="0"/>
    <cacheHierarchy uniqueName="[Bereik].[Cutoff matig]" caption="Cutoff matig" attribute="1" defaultMemberUniqueName="[Bereik].[Cutoff matig].[All]" allUniqueName="[Bereik].[Cutoff matig].[All]" dimensionUniqueName="[Bereik]" displayFolder="" count="0" memberValueDatatype="20" unbalanced="0"/>
    <cacheHierarchy uniqueName="[Bereik].[Cutoff ernstig]" caption="Cutoff ernstig" attribute="1" defaultMemberUniqueName="[Bereik].[Cutoff ernstig].[All]" allUniqueName="[Bereik].[Cutoff ernstig].[All]" dimensionUniqueName="[Bereik]" displayFolder="" count="0" memberValueDatatype="20" unbalanced="0"/>
    <cacheHierarchy uniqueName="[Bereik].[ICF score_totaal]" caption="ICF score_totaal" attribute="1" defaultMemberUniqueName="[Bereik].[ICF score_totaal].[All]" allUniqueName="[Bereik].[ICF score_totaal].[All]" dimensionUniqueName="[Bereik]" displayFolder="" count="0" memberValueDatatype="20" unbalanced="0"/>
    <cacheHierarchy uniqueName="[Measures].[__XL_Count Bereik]" caption="__XL_Count Bereik" measure="1" displayFolder="" measureGroup="Bereik" count="0" hidden="1"/>
    <cacheHierarchy uniqueName="[Measures].[__No measures defined]" caption="__No measures defined" measure="1" displayFolder="" count="0" hidden="1"/>
    <cacheHierarchy uniqueName="[Measures].[Som van ICF score_totaal]" caption="Som van ICF score_totaal" measure="1" displayFolder="" measureGroup="Bereik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Gemiddelde van ICF score_totaal]" caption="Gemiddelde van ICF score_totaal" measure="1" displayFolder="" measureGroup="Berei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Bereik" uniqueName="[Bereik]" caption="Bereik"/>
    <dimension measure="1" name="Measures" uniqueName="[Measures]" caption="Measures"/>
  </dimensions>
  <measureGroups count="1">
    <measureGroup name="Bereik" caption="Bereik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61166762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5FFCE-0206-4D1A-A394-AC5DC2A4C90E}" name="PivotChartTable2" cacheId="2" applyNumberFormats="0" applyBorderFormats="0" applyFontFormats="0" applyPatternFormats="0" applyAlignmentFormats="0" applyWidthHeightFormats="1" dataCaption="Waarden" updatedVersion="7" minRefreshableVersion="3" useAutoFormatting="1" subtotalHiddenItems="1" itemPrintTitles="1" createdVersion="7" indent="0" outline="1" outlineData="1" multipleFieldFilters="0" chartFormat="4">
  <location ref="A1:G12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Gemiddelde van ICF score_totaal" fld="2" subtotal="average" baseField="0" baseItem="0" numFmtId="164"/>
  </dataFields>
  <chartFormats count="1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Gemiddelde van ICF score_totaal"/>
  </pivotHierarchies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0" columnCount="6" cacheId="611667628">
        <x15:pivotRow count="6">
          <x15:c>
            <x15:v>3.5</x15:v>
          </x15:c>
          <x15:c>
            <x15:v>2.3333333333333335</x15:v>
          </x15:c>
          <x15:c>
            <x15:v>1.5</x15:v>
          </x15:c>
          <x15:c t="e">
            <x15:v/>
          </x15:c>
          <x15:c t="e">
            <x15:v/>
          </x15:c>
          <x15:c>
            <x15:v>2.4545454545454546</x15:v>
          </x15:c>
        </x15:pivotRow>
        <x15:pivotRow count="6">
          <x15:c>
            <x15:v>2.6666666666666665</x15:v>
          </x15:c>
          <x15:c>
            <x15:v>2</x15:v>
          </x15:c>
          <x15:c>
            <x15:v>3</x15:v>
          </x15:c>
          <x15:c t="e">
            <x15:v/>
          </x15:c>
          <x15:c t="e">
            <x15:v/>
          </x15:c>
          <x15:c>
            <x15:v>2.5555555555555554</x15:v>
          </x15:c>
        </x15:pivotRow>
        <x15:pivotRow count="6">
          <x15:c>
            <x15:v>3</x15:v>
          </x15:c>
          <x15:c>
            <x15:v>2.4</x15:v>
          </x15:c>
          <x15:c>
            <x15:v>3</x15:v>
          </x15:c>
          <x15:c t="e">
            <x15:v/>
          </x15:c>
          <x15:c t="e">
            <x15:v/>
          </x15:c>
          <x15:c>
            <x15:v>2.7857142857142856</x15:v>
          </x15:c>
        </x15:pivotRow>
        <x15:pivotRow count="6">
          <x15:c>
            <x15:v>2.7142857142857144</x15:v>
          </x15:c>
          <x15:c>
            <x15:v>2.2857142857142856</x15:v>
          </x15:c>
          <x15:c>
            <x15:v>3.6666666666666665</x15:v>
          </x15:c>
          <x15:c t="e">
            <x15:v/>
          </x15:c>
          <x15:c t="e">
            <x15:v/>
          </x15:c>
          <x15:c>
            <x15:v>2.85</x15:v>
          </x15:c>
        </x15:pivotRow>
        <x15:pivotRow count="6">
          <x15:c>
            <x15:v>1.4</x15:v>
          </x15:c>
          <x15:c>
            <x15:v>2.25</x15:v>
          </x15:c>
          <x15:c>
            <x15:v>2</x15:v>
          </x15:c>
          <x15:c t="e">
            <x15:v/>
          </x15:c>
          <x15:c t="e">
            <x15:v/>
          </x15:c>
          <x15:c>
            <x15:v>1.8333333333333333</x15:v>
          </x15:c>
        </x15:pivotRow>
        <x15:pivotRow count="6">
          <x15:c>
            <x15:v>2.3333333333333335</x15:v>
          </x15:c>
          <x15:c>
            <x15:v>1.4285714285714286</x15:v>
          </x15:c>
          <x15:c>
            <x15:v>2.8</x15:v>
          </x15:c>
          <x15:c t="e">
            <x15:v/>
          </x15:c>
          <x15:c t="e">
            <x15:v/>
          </x15:c>
          <x15:c>
            <x15:v>2.0666666666666669</x15:v>
          </x15:c>
        </x15:pivotRow>
        <x15:pivotRow count="6">
          <x15:c t="e">
            <x15:v/>
          </x15:c>
          <x15:c t="e">
            <x15:v/>
          </x15:c>
          <x15:c t="e">
            <x15:v/>
          </x15:c>
          <x15:c>
            <x15:v>3.1428571428571428</x15:v>
          </x15:c>
          <x15:c t="e">
            <x15:v/>
          </x15:c>
          <x15:c>
            <x15:v>3.1428571428571428</x15:v>
          </x15:c>
        </x15:pivotRow>
        <x15:pivotRow count="6"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2</x15:v>
          </x15:c>
          <x15:c>
            <x15:v>2</x15:v>
          </x15:c>
        </x15:pivotRow>
        <x15:pivotRow count="6"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2.6</x15:v>
          </x15:c>
          <x15:c>
            <x15:v>2.6</x15:v>
          </x15:c>
        </x15:pivotRow>
        <x15:pivotRow count="6">
          <x15:c>
            <x15:v>2.56</x15:v>
          </x15:c>
          <x15:c>
            <x15:v>2.0689655172413794</x15:v>
          </x15:c>
          <x15:c>
            <x15:v>2.7777777777777777</x15:v>
          </x15:c>
          <x15:c>
            <x15:v>3.1428571428571428</x15:v>
          </x15:c>
          <x15:c>
            <x15:v>2.375</x15:v>
          </x15:c>
          <x15:c>
            <x15:v>2.5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Blad1!$A$1:$J$93">
        <x15:activeTabTopLevelEntity name="[Berei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C9081-13CC-4028-AA91-080624356B93}" name="Draaitabel9" cacheId="1" applyNumberFormats="0" applyBorderFormats="0" applyFontFormats="0" applyPatternFormats="0" applyAlignmentFormats="0" applyWidthHeightFormats="1" dataCaption="Waarden" updatedVersion="7" minRefreshableVersion="3" useAutoFormatting="1" subtotalHiddenItems="1" itemPrintTitles="1" createdVersion="7" indent="0" outline="1" outlineData="1" multipleFieldFilters="0">
  <location ref="A3:B126" firstHeaderRow="1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dataField="1" subtotalTop="0" showAll="0" defaultSubtotal="0"/>
  </pivotFields>
  <rowFields count="3">
    <field x="0"/>
    <field x="1"/>
    <field x="2"/>
  </rowFields>
  <rowItems count="123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1">
      <x v="3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2">
      <x v="20"/>
    </i>
    <i r="2">
      <x v="21"/>
    </i>
    <i r="1">
      <x v="5"/>
    </i>
    <i r="2">
      <x v="22"/>
    </i>
    <i r="2">
      <x v="23"/>
    </i>
    <i r="2">
      <x v="24"/>
    </i>
    <i>
      <x v="1"/>
    </i>
    <i r="1">
      <x/>
    </i>
    <i r="2">
      <x v="25"/>
    </i>
    <i r="2">
      <x v="26"/>
    </i>
    <i r="2">
      <x v="27"/>
    </i>
    <i r="1">
      <x v="1"/>
    </i>
    <i r="2">
      <x v="28"/>
    </i>
    <i r="2">
      <x v="29"/>
    </i>
    <i r="2">
      <x v="30"/>
    </i>
    <i r="1">
      <x v="2"/>
    </i>
    <i r="2">
      <x v="31"/>
    </i>
    <i r="2">
      <x v="32"/>
    </i>
    <i r="2">
      <x v="33"/>
    </i>
    <i r="2">
      <x v="34"/>
    </i>
    <i r="2">
      <x v="35"/>
    </i>
    <i r="1">
      <x v="3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1">
      <x v="4"/>
    </i>
    <i r="2">
      <x v="43"/>
    </i>
    <i r="2">
      <x v="44"/>
    </i>
    <i r="2">
      <x v="45"/>
    </i>
    <i r="2">
      <x v="46"/>
    </i>
    <i r="1">
      <x v="5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>
      <x v="2"/>
    </i>
    <i r="1">
      <x/>
    </i>
    <i r="2">
      <x v="54"/>
    </i>
    <i r="2">
      <x v="55"/>
    </i>
    <i r="2">
      <x v="56"/>
    </i>
    <i r="2">
      <x v="57"/>
    </i>
    <i r="1">
      <x v="1"/>
    </i>
    <i r="2">
      <x v="58"/>
    </i>
    <i r="2">
      <x v="59"/>
    </i>
    <i r="2">
      <x v="60"/>
    </i>
    <i r="1">
      <x v="2"/>
    </i>
    <i r="2">
      <x v="61"/>
    </i>
    <i r="2">
      <x v="62"/>
    </i>
    <i r="2">
      <x v="63"/>
    </i>
    <i r="2">
      <x v="64"/>
    </i>
    <i r="2">
      <x v="65"/>
    </i>
    <i r="2">
      <x v="66"/>
    </i>
    <i r="1">
      <x v="3"/>
    </i>
    <i r="2">
      <x v="67"/>
    </i>
    <i r="2">
      <x v="68"/>
    </i>
    <i r="2">
      <x v="69"/>
    </i>
    <i r="2">
      <x v="70"/>
    </i>
    <i r="2">
      <x v="71"/>
    </i>
    <i r="2">
      <x v="72"/>
    </i>
    <i r="1">
      <x v="4"/>
    </i>
    <i r="2">
      <x v="73"/>
    </i>
    <i r="2">
      <x v="74"/>
    </i>
    <i r="2">
      <x v="75"/>
    </i>
    <i r="1">
      <x v="5"/>
    </i>
    <i r="2">
      <x v="76"/>
    </i>
    <i r="2">
      <x v="77"/>
    </i>
    <i r="2">
      <x v="78"/>
    </i>
    <i r="2">
      <x v="79"/>
    </i>
    <i r="2">
      <x v="80"/>
    </i>
    <i>
      <x v="3"/>
    </i>
    <i r="1">
      <x v="6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>
      <x v="4"/>
    </i>
    <i r="1">
      <x v="7"/>
    </i>
    <i r="2">
      <x v="88"/>
    </i>
    <i r="2">
      <x v="89"/>
    </i>
    <i r="2">
      <x v="90"/>
    </i>
    <i r="1">
      <x v="8"/>
    </i>
    <i r="2">
      <x v="91"/>
    </i>
    <i r="2">
      <x v="92"/>
    </i>
    <i r="2">
      <x v="93"/>
    </i>
    <i r="2">
      <x v="94"/>
    </i>
    <i r="2">
      <x v="95"/>
    </i>
    <i t="grand">
      <x/>
    </i>
  </rowItems>
  <colItems count="1">
    <i/>
  </colItems>
  <dataFields count="1">
    <dataField name="Gemiddelde van ICF score_totaal" fld="3" subtotal="average" baseField="2" baseItem="1" numFmtId="164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Gemiddelde van ICF score_totaal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ad1!$A$1:$J$93">
        <x15:activeTabTopLevelEntity name="[Berei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05C2-CD93-46A7-BC31-31B449DA4141}">
  <dimension ref="A1:L188"/>
  <sheetViews>
    <sheetView tabSelected="1" topLeftCell="A137" workbookViewId="0">
      <selection activeCell="C148" sqref="C148"/>
    </sheetView>
  </sheetViews>
  <sheetFormatPr defaultRowHeight="14.4"/>
  <cols>
    <col min="1" max="1" width="22" customWidth="1"/>
    <col min="2" max="2" width="26.6640625" customWidth="1"/>
    <col min="3" max="3" width="37.5546875" customWidth="1"/>
    <col min="4" max="4" width="9.21875" customWidth="1"/>
    <col min="5" max="5" width="22.77734375" customWidth="1"/>
    <col min="6" max="6" width="6.88671875" customWidth="1"/>
    <col min="7" max="7" width="11.6640625" customWidth="1"/>
    <col min="8" max="8" width="12.5546875" customWidth="1"/>
    <col min="9" max="9" width="13" customWidth="1"/>
    <col min="10" max="10" width="14.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207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e">
        <v>#N/A</v>
      </c>
      <c r="G2">
        <v>2</v>
      </c>
      <c r="H2">
        <v>3</v>
      </c>
      <c r="I2">
        <v>4</v>
      </c>
      <c r="J2" s="2" t="e">
        <f t="shared" ref="J2:J41" si="0">IF(F2&gt;=I2,4,IF(F2&gt;=H2,3,IF(F2&gt;=G2,2,1)))</f>
        <v>#N/A</v>
      </c>
    </row>
    <row r="3" spans="1:10">
      <c r="A3" s="2" t="s">
        <v>9</v>
      </c>
      <c r="B3" s="2" t="s">
        <v>14</v>
      </c>
      <c r="C3" s="2" t="s">
        <v>15</v>
      </c>
      <c r="D3" s="2" t="s">
        <v>12</v>
      </c>
      <c r="E3" s="2" t="s">
        <v>16</v>
      </c>
      <c r="F3" s="2" t="e">
        <v>#N/A</v>
      </c>
      <c r="G3" s="2">
        <v>2</v>
      </c>
      <c r="H3" s="2">
        <v>3</v>
      </c>
      <c r="I3" s="2">
        <v>4</v>
      </c>
      <c r="J3" s="2" t="e">
        <f t="shared" si="0"/>
        <v>#N/A</v>
      </c>
    </row>
    <row r="4" spans="1:10">
      <c r="A4" t="s">
        <v>9</v>
      </c>
      <c r="B4" t="s">
        <v>17</v>
      </c>
      <c r="C4" t="s">
        <v>18</v>
      </c>
      <c r="D4" t="s">
        <v>12</v>
      </c>
      <c r="E4" t="s">
        <v>19</v>
      </c>
      <c r="F4" t="e">
        <v>#N/A</v>
      </c>
      <c r="G4">
        <v>2</v>
      </c>
      <c r="H4">
        <v>3</v>
      </c>
      <c r="I4">
        <v>4</v>
      </c>
      <c r="J4" s="2" t="e">
        <f t="shared" si="0"/>
        <v>#N/A</v>
      </c>
    </row>
    <row r="5" spans="1:10">
      <c r="A5" s="2" t="s">
        <v>20</v>
      </c>
      <c r="B5" s="2" t="s">
        <v>21</v>
      </c>
      <c r="C5" s="2" t="s">
        <v>22</v>
      </c>
      <c r="D5" s="2" t="s">
        <v>12</v>
      </c>
      <c r="E5" s="2" t="s">
        <v>23</v>
      </c>
      <c r="F5" s="2" t="e">
        <v>#N/A</v>
      </c>
      <c r="G5" s="2">
        <v>2</v>
      </c>
      <c r="H5" s="2">
        <v>3</v>
      </c>
      <c r="I5" s="2">
        <v>4</v>
      </c>
      <c r="J5" s="2" t="e">
        <f t="shared" si="0"/>
        <v>#N/A</v>
      </c>
    </row>
    <row r="6" spans="1:10">
      <c r="A6" t="s">
        <v>9</v>
      </c>
      <c r="B6" t="s">
        <v>10</v>
      </c>
      <c r="C6" t="s">
        <v>24</v>
      </c>
      <c r="D6" t="s">
        <v>12</v>
      </c>
      <c r="E6" t="s">
        <v>25</v>
      </c>
      <c r="F6" t="e">
        <v>#N/A</v>
      </c>
      <c r="G6">
        <v>2</v>
      </c>
      <c r="H6">
        <v>3</v>
      </c>
      <c r="I6">
        <v>4</v>
      </c>
      <c r="J6" s="2" t="e">
        <f t="shared" si="0"/>
        <v>#N/A</v>
      </c>
    </row>
    <row r="7" spans="1:10">
      <c r="A7" s="2" t="s">
        <v>32</v>
      </c>
      <c r="B7" s="2" t="s">
        <v>17</v>
      </c>
      <c r="C7" s="2" t="s">
        <v>26</v>
      </c>
      <c r="D7" s="2" t="s">
        <v>12</v>
      </c>
      <c r="E7" s="2" t="s">
        <v>27</v>
      </c>
      <c r="F7" s="2" t="e">
        <v>#N/A</v>
      </c>
      <c r="G7" s="2">
        <v>2</v>
      </c>
      <c r="H7" s="2">
        <v>3</v>
      </c>
      <c r="I7" s="2">
        <v>4</v>
      </c>
      <c r="J7" s="2" t="e">
        <f t="shared" si="0"/>
        <v>#N/A</v>
      </c>
    </row>
    <row r="8" spans="1:10">
      <c r="A8" t="s">
        <v>20</v>
      </c>
      <c r="B8" t="s">
        <v>17</v>
      </c>
      <c r="C8" t="s">
        <v>28</v>
      </c>
      <c r="D8" t="s">
        <v>12</v>
      </c>
      <c r="E8" t="s">
        <v>29</v>
      </c>
      <c r="F8" t="e">
        <v>#N/A</v>
      </c>
      <c r="G8">
        <v>2</v>
      </c>
      <c r="H8">
        <v>3</v>
      </c>
      <c r="I8">
        <v>4</v>
      </c>
      <c r="J8" s="2" t="e">
        <f t="shared" si="0"/>
        <v>#N/A</v>
      </c>
    </row>
    <row r="9" spans="1:10">
      <c r="A9" s="2" t="s">
        <v>32</v>
      </c>
      <c r="B9" s="2" t="s">
        <v>21</v>
      </c>
      <c r="C9" s="2" t="s">
        <v>30</v>
      </c>
      <c r="D9" s="2" t="s">
        <v>12</v>
      </c>
      <c r="E9" s="2" t="s">
        <v>31</v>
      </c>
      <c r="F9" s="2" t="e">
        <v>#N/A</v>
      </c>
      <c r="G9" s="2">
        <v>2</v>
      </c>
      <c r="H9" s="2">
        <v>3</v>
      </c>
      <c r="I9" s="2">
        <v>4</v>
      </c>
      <c r="J9" s="2" t="e">
        <f t="shared" si="0"/>
        <v>#N/A</v>
      </c>
    </row>
    <row r="10" spans="1:10">
      <c r="A10" t="s">
        <v>32</v>
      </c>
      <c r="B10" t="s">
        <v>33</v>
      </c>
      <c r="C10" t="s">
        <v>34</v>
      </c>
      <c r="D10" t="s">
        <v>12</v>
      </c>
      <c r="E10" t="s">
        <v>35</v>
      </c>
      <c r="F10" t="e">
        <v>#N/A</v>
      </c>
      <c r="G10">
        <v>2</v>
      </c>
      <c r="H10">
        <v>3</v>
      </c>
      <c r="I10">
        <v>4</v>
      </c>
      <c r="J10" s="2" t="e">
        <f t="shared" si="0"/>
        <v>#N/A</v>
      </c>
    </row>
    <row r="11" spans="1:10">
      <c r="A11" s="2" t="s">
        <v>20</v>
      </c>
      <c r="B11" s="2" t="s">
        <v>36</v>
      </c>
      <c r="C11" s="2" t="s">
        <v>37</v>
      </c>
      <c r="D11" s="2" t="s">
        <v>12</v>
      </c>
      <c r="E11" s="2" t="s">
        <v>38</v>
      </c>
      <c r="F11" s="2" t="e">
        <v>#N/A</v>
      </c>
      <c r="G11" s="2">
        <v>2</v>
      </c>
      <c r="H11" s="2">
        <v>3</v>
      </c>
      <c r="I11" s="2">
        <v>4</v>
      </c>
      <c r="J11" s="2" t="e">
        <f t="shared" si="0"/>
        <v>#N/A</v>
      </c>
    </row>
    <row r="12" spans="1:10">
      <c r="A12" t="s">
        <v>9</v>
      </c>
      <c r="B12" t="s">
        <v>10</v>
      </c>
      <c r="C12" t="s">
        <v>39</v>
      </c>
      <c r="D12" t="s">
        <v>12</v>
      </c>
      <c r="E12" t="s">
        <v>40</v>
      </c>
      <c r="F12" t="e">
        <v>#N/A</v>
      </c>
      <c r="G12">
        <v>2</v>
      </c>
      <c r="H12">
        <v>3</v>
      </c>
      <c r="I12">
        <v>4</v>
      </c>
      <c r="J12" s="2" t="e">
        <f t="shared" si="0"/>
        <v>#N/A</v>
      </c>
    </row>
    <row r="13" spans="1:10">
      <c r="A13" s="2" t="s">
        <v>20</v>
      </c>
      <c r="B13" s="2" t="s">
        <v>17</v>
      </c>
      <c r="C13" s="2" t="s">
        <v>41</v>
      </c>
      <c r="D13" s="2" t="s">
        <v>12</v>
      </c>
      <c r="E13" s="2" t="s">
        <v>42</v>
      </c>
      <c r="F13" s="2" t="e">
        <v>#N/A</v>
      </c>
      <c r="G13" s="2">
        <v>2</v>
      </c>
      <c r="H13" s="2">
        <v>3</v>
      </c>
      <c r="I13" s="2">
        <v>4</v>
      </c>
      <c r="J13" s="2" t="e">
        <f t="shared" si="0"/>
        <v>#N/A</v>
      </c>
    </row>
    <row r="14" spans="1:10">
      <c r="A14" t="s">
        <v>43</v>
      </c>
      <c r="B14" t="s">
        <v>212</v>
      </c>
      <c r="C14" t="s">
        <v>44</v>
      </c>
      <c r="D14" t="s">
        <v>12</v>
      </c>
      <c r="E14" t="s">
        <v>45</v>
      </c>
      <c r="F14" t="e">
        <v>#N/A</v>
      </c>
      <c r="G14">
        <v>2</v>
      </c>
      <c r="H14">
        <v>3</v>
      </c>
      <c r="I14">
        <v>4</v>
      </c>
      <c r="J14" s="2" t="e">
        <f t="shared" si="0"/>
        <v>#N/A</v>
      </c>
    </row>
    <row r="15" spans="1:10">
      <c r="A15" s="2" t="s">
        <v>32</v>
      </c>
      <c r="B15" s="2" t="s">
        <v>21</v>
      </c>
      <c r="C15" s="2" t="s">
        <v>46</v>
      </c>
      <c r="D15" s="2" t="s">
        <v>12</v>
      </c>
      <c r="E15" s="2" t="s">
        <v>47</v>
      </c>
      <c r="F15" s="2" t="e">
        <v>#N/A</v>
      </c>
      <c r="G15" s="2">
        <v>2</v>
      </c>
      <c r="H15" s="2">
        <v>3</v>
      </c>
      <c r="I15" s="2">
        <v>4</v>
      </c>
      <c r="J15" s="2" t="e">
        <f t="shared" si="0"/>
        <v>#N/A</v>
      </c>
    </row>
    <row r="16" spans="1:10">
      <c r="A16" t="s">
        <v>32</v>
      </c>
      <c r="B16" t="s">
        <v>17</v>
      </c>
      <c r="C16" t="s">
        <v>48</v>
      </c>
      <c r="D16" t="s">
        <v>12</v>
      </c>
      <c r="E16" t="s">
        <v>49</v>
      </c>
      <c r="F16" t="e">
        <v>#N/A</v>
      </c>
      <c r="G16">
        <v>2</v>
      </c>
      <c r="H16">
        <v>3</v>
      </c>
      <c r="I16">
        <v>4</v>
      </c>
      <c r="J16" s="2" t="e">
        <f t="shared" si="0"/>
        <v>#N/A</v>
      </c>
    </row>
    <row r="17" spans="1:10">
      <c r="A17" s="2" t="s">
        <v>32</v>
      </c>
      <c r="B17" s="2" t="s">
        <v>21</v>
      </c>
      <c r="C17" s="2" t="s">
        <v>50</v>
      </c>
      <c r="D17" s="2" t="s">
        <v>12</v>
      </c>
      <c r="E17" s="2" t="s">
        <v>51</v>
      </c>
      <c r="F17" s="2" t="e">
        <v>#N/A</v>
      </c>
      <c r="G17" s="2">
        <v>2</v>
      </c>
      <c r="H17" s="2">
        <v>3</v>
      </c>
      <c r="I17" s="2">
        <v>4</v>
      </c>
      <c r="J17" s="2" t="e">
        <f t="shared" si="0"/>
        <v>#N/A</v>
      </c>
    </row>
    <row r="18" spans="1:10">
      <c r="A18" t="s">
        <v>20</v>
      </c>
      <c r="B18" t="s">
        <v>10</v>
      </c>
      <c r="C18" t="s">
        <v>52</v>
      </c>
      <c r="D18" t="s">
        <v>12</v>
      </c>
      <c r="E18" t="s">
        <v>53</v>
      </c>
      <c r="F18" t="e">
        <v>#N/A</v>
      </c>
      <c r="G18">
        <v>2</v>
      </c>
      <c r="H18">
        <v>3</v>
      </c>
      <c r="I18">
        <v>4</v>
      </c>
      <c r="J18" s="2" t="e">
        <f t="shared" si="0"/>
        <v>#N/A</v>
      </c>
    </row>
    <row r="19" spans="1:10">
      <c r="A19" s="2" t="s">
        <v>32</v>
      </c>
      <c r="B19" s="2" t="s">
        <v>17</v>
      </c>
      <c r="C19" s="2" t="s">
        <v>54</v>
      </c>
      <c r="D19" s="2" t="s">
        <v>12</v>
      </c>
      <c r="E19" s="2" t="s">
        <v>55</v>
      </c>
      <c r="F19" s="2" t="e">
        <v>#N/A</v>
      </c>
      <c r="G19" s="2">
        <v>2</v>
      </c>
      <c r="H19" s="2">
        <v>3</v>
      </c>
      <c r="I19" s="2">
        <v>4</v>
      </c>
      <c r="J19" s="2" t="e">
        <f t="shared" si="0"/>
        <v>#N/A</v>
      </c>
    </row>
    <row r="20" spans="1:10">
      <c r="A20" t="s">
        <v>43</v>
      </c>
      <c r="B20" t="s">
        <v>213</v>
      </c>
      <c r="C20" t="s">
        <v>56</v>
      </c>
      <c r="D20" t="s">
        <v>12</v>
      </c>
      <c r="E20" t="s">
        <v>57</v>
      </c>
      <c r="F20" t="e">
        <v>#N/A</v>
      </c>
      <c r="G20">
        <v>2</v>
      </c>
      <c r="H20">
        <v>3</v>
      </c>
      <c r="I20">
        <v>4</v>
      </c>
      <c r="J20" s="2" t="e">
        <f t="shared" si="0"/>
        <v>#N/A</v>
      </c>
    </row>
    <row r="21" spans="1:10">
      <c r="A21" s="2" t="s">
        <v>32</v>
      </c>
      <c r="B21" s="2" t="s">
        <v>14</v>
      </c>
      <c r="C21" s="2" t="s">
        <v>58</v>
      </c>
      <c r="D21" s="2" t="s">
        <v>12</v>
      </c>
      <c r="E21" s="2" t="s">
        <v>59</v>
      </c>
      <c r="F21" s="2" t="e">
        <v>#N/A</v>
      </c>
      <c r="G21" s="2">
        <v>2</v>
      </c>
      <c r="H21" s="2">
        <v>3</v>
      </c>
      <c r="I21" s="2">
        <v>4</v>
      </c>
      <c r="J21" s="2" t="e">
        <f t="shared" si="0"/>
        <v>#N/A</v>
      </c>
    </row>
    <row r="22" spans="1:10">
      <c r="A22" t="s">
        <v>20</v>
      </c>
      <c r="B22" t="s">
        <v>21</v>
      </c>
      <c r="C22" t="s">
        <v>60</v>
      </c>
      <c r="D22" t="s">
        <v>12</v>
      </c>
      <c r="E22" t="s">
        <v>61</v>
      </c>
      <c r="F22" t="e">
        <v>#N/A</v>
      </c>
      <c r="G22">
        <v>2</v>
      </c>
      <c r="H22">
        <v>3</v>
      </c>
      <c r="I22">
        <v>4</v>
      </c>
      <c r="J22" s="2" t="e">
        <f t="shared" si="0"/>
        <v>#N/A</v>
      </c>
    </row>
    <row r="23" spans="1:10">
      <c r="A23" s="2" t="s">
        <v>9</v>
      </c>
      <c r="B23" s="2" t="s">
        <v>10</v>
      </c>
      <c r="C23" s="2" t="s">
        <v>62</v>
      </c>
      <c r="D23" s="2" t="s">
        <v>12</v>
      </c>
      <c r="E23" s="2" t="s">
        <v>63</v>
      </c>
      <c r="F23" s="2" t="e">
        <v>#N/A</v>
      </c>
      <c r="G23" s="2">
        <v>2</v>
      </c>
      <c r="H23" s="2">
        <v>3</v>
      </c>
      <c r="I23" s="2">
        <v>4</v>
      </c>
      <c r="J23" s="2" t="e">
        <f t="shared" si="0"/>
        <v>#N/A</v>
      </c>
    </row>
    <row r="24" spans="1:10">
      <c r="A24" t="s">
        <v>20</v>
      </c>
      <c r="B24" t="s">
        <v>36</v>
      </c>
      <c r="C24" t="s">
        <v>64</v>
      </c>
      <c r="D24" t="s">
        <v>12</v>
      </c>
      <c r="E24" t="s">
        <v>65</v>
      </c>
      <c r="F24" t="e">
        <v>#N/A</v>
      </c>
      <c r="G24">
        <v>2</v>
      </c>
      <c r="H24">
        <v>3</v>
      </c>
      <c r="I24">
        <v>4</v>
      </c>
      <c r="J24" s="2" t="e">
        <f t="shared" si="0"/>
        <v>#N/A</v>
      </c>
    </row>
    <row r="25" spans="1:10">
      <c r="A25" s="2" t="s">
        <v>9</v>
      </c>
      <c r="B25" s="2" t="s">
        <v>21</v>
      </c>
      <c r="C25" s="2" t="s">
        <v>66</v>
      </c>
      <c r="D25" s="2" t="s">
        <v>12</v>
      </c>
      <c r="E25" s="2" t="s">
        <v>67</v>
      </c>
      <c r="F25" s="2" t="e">
        <v>#N/A</v>
      </c>
      <c r="G25" s="2">
        <v>2</v>
      </c>
      <c r="H25" s="2">
        <v>3</v>
      </c>
      <c r="I25" s="2">
        <v>4</v>
      </c>
      <c r="J25" s="2" t="e">
        <f t="shared" si="0"/>
        <v>#N/A</v>
      </c>
    </row>
    <row r="26" spans="1:10">
      <c r="A26" t="s">
        <v>32</v>
      </c>
      <c r="B26" t="s">
        <v>21</v>
      </c>
      <c r="C26" t="s">
        <v>68</v>
      </c>
      <c r="D26" t="s">
        <v>12</v>
      </c>
      <c r="E26" t="s">
        <v>69</v>
      </c>
      <c r="F26" t="e">
        <v>#N/A</v>
      </c>
      <c r="G26">
        <v>2</v>
      </c>
      <c r="H26">
        <v>3</v>
      </c>
      <c r="I26">
        <v>4</v>
      </c>
      <c r="J26" s="2" t="e">
        <f t="shared" si="0"/>
        <v>#N/A</v>
      </c>
    </row>
    <row r="27" spans="1:10">
      <c r="A27" s="2" t="s">
        <v>32</v>
      </c>
      <c r="B27" s="2" t="s">
        <v>10</v>
      </c>
      <c r="C27" s="2" t="s">
        <v>70</v>
      </c>
      <c r="D27" s="2" t="s">
        <v>12</v>
      </c>
      <c r="E27" s="2" t="s">
        <v>71</v>
      </c>
      <c r="F27" s="2" t="e">
        <v>#N/A</v>
      </c>
      <c r="G27" s="2">
        <v>2</v>
      </c>
      <c r="H27" s="2">
        <v>3</v>
      </c>
      <c r="I27" s="2">
        <v>4</v>
      </c>
      <c r="J27" s="2" t="e">
        <f t="shared" si="0"/>
        <v>#N/A</v>
      </c>
    </row>
    <row r="28" spans="1:10">
      <c r="A28" t="s">
        <v>20</v>
      </c>
      <c r="B28" t="s">
        <v>36</v>
      </c>
      <c r="C28" t="s">
        <v>72</v>
      </c>
      <c r="D28" t="s">
        <v>12</v>
      </c>
      <c r="E28" t="s">
        <v>73</v>
      </c>
      <c r="F28" t="e">
        <v>#N/A</v>
      </c>
      <c r="G28">
        <v>2</v>
      </c>
      <c r="H28">
        <v>3</v>
      </c>
      <c r="I28">
        <v>4</v>
      </c>
      <c r="J28" s="2" t="e">
        <f t="shared" si="0"/>
        <v>#N/A</v>
      </c>
    </row>
    <row r="29" spans="1:10">
      <c r="A29" s="2" t="s">
        <v>9</v>
      </c>
      <c r="B29" s="2" t="s">
        <v>21</v>
      </c>
      <c r="C29" s="2" t="s">
        <v>74</v>
      </c>
      <c r="D29" s="2" t="s">
        <v>12</v>
      </c>
      <c r="E29" s="2" t="s">
        <v>75</v>
      </c>
      <c r="F29" s="2" t="e">
        <v>#N/A</v>
      </c>
      <c r="G29" s="2">
        <v>2</v>
      </c>
      <c r="H29" s="2">
        <v>3</v>
      </c>
      <c r="I29" s="2">
        <v>4</v>
      </c>
      <c r="J29" s="2" t="e">
        <f t="shared" si="0"/>
        <v>#N/A</v>
      </c>
    </row>
    <row r="30" spans="1:10">
      <c r="A30" t="s">
        <v>43</v>
      </c>
      <c r="B30" t="s">
        <v>213</v>
      </c>
      <c r="C30" t="s">
        <v>76</v>
      </c>
      <c r="D30" t="s">
        <v>12</v>
      </c>
      <c r="E30" t="s">
        <v>77</v>
      </c>
      <c r="F30" t="e">
        <v>#N/A</v>
      </c>
      <c r="G30">
        <v>2</v>
      </c>
      <c r="H30">
        <v>3</v>
      </c>
      <c r="I30">
        <v>4</v>
      </c>
      <c r="J30" s="2" t="e">
        <f t="shared" si="0"/>
        <v>#N/A</v>
      </c>
    </row>
    <row r="31" spans="1:10">
      <c r="A31" s="2" t="s">
        <v>32</v>
      </c>
      <c r="B31" s="2" t="s">
        <v>14</v>
      </c>
      <c r="C31" s="2" t="s">
        <v>78</v>
      </c>
      <c r="D31" s="2" t="s">
        <v>12</v>
      </c>
      <c r="E31" s="2" t="s">
        <v>79</v>
      </c>
      <c r="F31" s="2" t="e">
        <v>#N/A</v>
      </c>
      <c r="G31" s="2">
        <v>2</v>
      </c>
      <c r="H31" s="2">
        <v>3</v>
      </c>
      <c r="I31" s="2">
        <v>4</v>
      </c>
      <c r="J31" s="2" t="e">
        <f t="shared" si="0"/>
        <v>#N/A</v>
      </c>
    </row>
    <row r="32" spans="1:10">
      <c r="A32" t="s">
        <v>9</v>
      </c>
      <c r="B32" t="s">
        <v>10</v>
      </c>
      <c r="C32" t="s">
        <v>80</v>
      </c>
      <c r="D32" t="s">
        <v>12</v>
      </c>
      <c r="E32" t="s">
        <v>81</v>
      </c>
      <c r="F32" t="e">
        <v>#N/A</v>
      </c>
      <c r="G32">
        <v>2</v>
      </c>
      <c r="H32">
        <v>3</v>
      </c>
      <c r="I32">
        <v>4</v>
      </c>
      <c r="J32" s="2" t="e">
        <f t="shared" si="0"/>
        <v>#N/A</v>
      </c>
    </row>
    <row r="33" spans="1:10">
      <c r="A33" s="2" t="s">
        <v>9</v>
      </c>
      <c r="B33" s="2" t="s">
        <v>36</v>
      </c>
      <c r="C33" s="2" t="s">
        <v>82</v>
      </c>
      <c r="D33" s="2" t="s">
        <v>12</v>
      </c>
      <c r="E33" s="2" t="s">
        <v>83</v>
      </c>
      <c r="F33" s="2" t="e">
        <v>#N/A</v>
      </c>
      <c r="G33" s="2">
        <v>2</v>
      </c>
      <c r="H33" s="2">
        <v>3</v>
      </c>
      <c r="I33" s="2">
        <v>4</v>
      </c>
      <c r="J33" s="2" t="e">
        <f t="shared" si="0"/>
        <v>#N/A</v>
      </c>
    </row>
    <row r="34" spans="1:10">
      <c r="A34" t="s">
        <v>9</v>
      </c>
      <c r="B34" t="s">
        <v>21</v>
      </c>
      <c r="C34" t="s">
        <v>84</v>
      </c>
      <c r="D34" t="s">
        <v>12</v>
      </c>
      <c r="E34" t="s">
        <v>85</v>
      </c>
      <c r="F34" t="e">
        <v>#N/A</v>
      </c>
      <c r="G34">
        <v>2</v>
      </c>
      <c r="H34">
        <v>3</v>
      </c>
      <c r="I34">
        <v>4</v>
      </c>
      <c r="J34" s="2" t="e">
        <f t="shared" si="0"/>
        <v>#N/A</v>
      </c>
    </row>
    <row r="35" spans="1:10">
      <c r="A35" s="2" t="s">
        <v>9</v>
      </c>
      <c r="B35" s="2" t="s">
        <v>36</v>
      </c>
      <c r="C35" s="2" t="s">
        <v>86</v>
      </c>
      <c r="D35" s="2" t="s">
        <v>12</v>
      </c>
      <c r="E35" s="2" t="s">
        <v>87</v>
      </c>
      <c r="F35" s="2" t="e">
        <v>#N/A</v>
      </c>
      <c r="G35" s="2">
        <v>2</v>
      </c>
      <c r="H35" s="2">
        <v>3</v>
      </c>
      <c r="I35" s="2">
        <v>4</v>
      </c>
      <c r="J35" s="2" t="e">
        <f t="shared" si="0"/>
        <v>#N/A</v>
      </c>
    </row>
    <row r="36" spans="1:10">
      <c r="A36" t="s">
        <v>32</v>
      </c>
      <c r="B36" t="s">
        <v>33</v>
      </c>
      <c r="C36" t="s">
        <v>88</v>
      </c>
      <c r="D36" t="s">
        <v>12</v>
      </c>
      <c r="E36" t="s">
        <v>89</v>
      </c>
      <c r="F36" t="e">
        <v>#N/A</v>
      </c>
      <c r="G36">
        <v>2</v>
      </c>
      <c r="H36">
        <v>3</v>
      </c>
      <c r="I36">
        <v>4</v>
      </c>
      <c r="J36" s="2" t="e">
        <f t="shared" si="0"/>
        <v>#N/A</v>
      </c>
    </row>
    <row r="37" spans="1:10">
      <c r="A37" s="2" t="s">
        <v>9</v>
      </c>
      <c r="B37" s="2" t="s">
        <v>36</v>
      </c>
      <c r="C37" s="2" t="s">
        <v>90</v>
      </c>
      <c r="D37" s="2" t="s">
        <v>12</v>
      </c>
      <c r="E37" s="2" t="s">
        <v>91</v>
      </c>
      <c r="F37" s="2" t="e">
        <v>#N/A</v>
      </c>
      <c r="G37" s="2">
        <v>2</v>
      </c>
      <c r="H37" s="2">
        <v>3</v>
      </c>
      <c r="I37" s="2">
        <v>4</v>
      </c>
      <c r="J37" s="2" t="e">
        <f t="shared" si="0"/>
        <v>#N/A</v>
      </c>
    </row>
    <row r="38" spans="1:10">
      <c r="A38" t="s">
        <v>20</v>
      </c>
      <c r="B38" t="s">
        <v>17</v>
      </c>
      <c r="C38" t="s">
        <v>92</v>
      </c>
      <c r="D38" t="s">
        <v>12</v>
      </c>
      <c r="E38" t="s">
        <v>93</v>
      </c>
      <c r="F38" t="e">
        <v>#N/A</v>
      </c>
      <c r="G38">
        <v>2</v>
      </c>
      <c r="H38">
        <v>3</v>
      </c>
      <c r="I38">
        <v>4</v>
      </c>
      <c r="J38" s="2" t="e">
        <f t="shared" si="0"/>
        <v>#N/A</v>
      </c>
    </row>
    <row r="39" spans="1:10">
      <c r="A39" s="2" t="s">
        <v>9</v>
      </c>
      <c r="B39" s="2" t="s">
        <v>17</v>
      </c>
      <c r="C39" s="2" t="s">
        <v>94</v>
      </c>
      <c r="D39" s="2" t="s">
        <v>12</v>
      </c>
      <c r="E39" s="2" t="s">
        <v>95</v>
      </c>
      <c r="F39" s="2" t="e">
        <v>#N/A</v>
      </c>
      <c r="G39" s="2">
        <v>2</v>
      </c>
      <c r="H39" s="2">
        <v>3</v>
      </c>
      <c r="I39" s="2">
        <v>4</v>
      </c>
      <c r="J39" s="2" t="e">
        <f t="shared" si="0"/>
        <v>#N/A</v>
      </c>
    </row>
    <row r="40" spans="1:10">
      <c r="A40" t="s">
        <v>9</v>
      </c>
      <c r="B40" t="s">
        <v>33</v>
      </c>
      <c r="C40" t="s">
        <v>96</v>
      </c>
      <c r="D40" t="s">
        <v>12</v>
      </c>
      <c r="E40" t="s">
        <v>97</v>
      </c>
      <c r="F40" t="e">
        <v>#N/A</v>
      </c>
      <c r="G40">
        <v>2</v>
      </c>
      <c r="H40">
        <v>3</v>
      </c>
      <c r="I40">
        <v>4</v>
      </c>
      <c r="J40" s="2" t="e">
        <f t="shared" si="0"/>
        <v>#N/A</v>
      </c>
    </row>
    <row r="41" spans="1:10">
      <c r="A41" s="2" t="s">
        <v>9</v>
      </c>
      <c r="B41" s="2" t="s">
        <v>17</v>
      </c>
      <c r="C41" s="2" t="s">
        <v>98</v>
      </c>
      <c r="D41" s="2" t="s">
        <v>12</v>
      </c>
      <c r="E41" s="2" t="s">
        <v>99</v>
      </c>
      <c r="F41" s="2" t="e">
        <v>#N/A</v>
      </c>
      <c r="G41" s="2">
        <v>2</v>
      </c>
      <c r="H41" s="2">
        <v>3</v>
      </c>
      <c r="I41" s="2">
        <v>4</v>
      </c>
      <c r="J41" s="2" t="e">
        <f t="shared" si="0"/>
        <v>#N/A</v>
      </c>
    </row>
    <row r="42" spans="1:10">
      <c r="A42" t="s">
        <v>20</v>
      </c>
      <c r="B42" t="s">
        <v>10</v>
      </c>
      <c r="C42" t="s">
        <v>100</v>
      </c>
      <c r="D42" t="s">
        <v>12</v>
      </c>
      <c r="E42" t="s">
        <v>101</v>
      </c>
      <c r="F42" t="e">
        <v>#N/A</v>
      </c>
      <c r="G42">
        <v>2</v>
      </c>
      <c r="H42">
        <v>3</v>
      </c>
      <c r="I42">
        <v>4</v>
      </c>
      <c r="J42" s="2" t="e">
        <f t="shared" ref="J42:J73" si="1">IF(F42&gt;=I42,4,IF(F42&gt;=H42,3,IF(F42&gt;=G42,2,1)))</f>
        <v>#N/A</v>
      </c>
    </row>
    <row r="43" spans="1:10">
      <c r="A43" s="2" t="s">
        <v>9</v>
      </c>
      <c r="B43" s="2" t="s">
        <v>14</v>
      </c>
      <c r="C43" s="2" t="s">
        <v>102</v>
      </c>
      <c r="D43" s="2" t="s">
        <v>12</v>
      </c>
      <c r="E43" s="2" t="s">
        <v>103</v>
      </c>
      <c r="F43" s="2" t="e">
        <v>#N/A</v>
      </c>
      <c r="G43" s="2">
        <v>2</v>
      </c>
      <c r="H43" s="2">
        <v>3</v>
      </c>
      <c r="I43" s="2">
        <v>4</v>
      </c>
      <c r="J43" s="2" t="e">
        <f t="shared" si="1"/>
        <v>#N/A</v>
      </c>
    </row>
    <row r="44" spans="1:10">
      <c r="A44" t="s">
        <v>9</v>
      </c>
      <c r="B44" t="s">
        <v>36</v>
      </c>
      <c r="C44" t="s">
        <v>104</v>
      </c>
      <c r="D44" t="s">
        <v>12</v>
      </c>
      <c r="E44" t="s">
        <v>105</v>
      </c>
      <c r="F44" t="e">
        <v>#N/A</v>
      </c>
      <c r="G44">
        <v>2</v>
      </c>
      <c r="H44">
        <v>3</v>
      </c>
      <c r="I44">
        <v>4</v>
      </c>
      <c r="J44" s="2" t="e">
        <f t="shared" si="1"/>
        <v>#N/A</v>
      </c>
    </row>
    <row r="45" spans="1:10">
      <c r="A45" s="2" t="s">
        <v>9</v>
      </c>
      <c r="B45" s="2" t="s">
        <v>14</v>
      </c>
      <c r="C45" s="2" t="s">
        <v>106</v>
      </c>
      <c r="D45" s="2" t="s">
        <v>12</v>
      </c>
      <c r="E45" s="2" t="s">
        <v>107</v>
      </c>
      <c r="F45" s="2" t="e">
        <v>#N/A</v>
      </c>
      <c r="G45" s="2">
        <v>2</v>
      </c>
      <c r="H45" s="2">
        <v>3</v>
      </c>
      <c r="I45" s="2">
        <v>4</v>
      </c>
      <c r="J45" s="2" t="e">
        <f t="shared" si="1"/>
        <v>#N/A</v>
      </c>
    </row>
    <row r="46" spans="1:10">
      <c r="A46" t="s">
        <v>9</v>
      </c>
      <c r="B46" t="s">
        <v>36</v>
      </c>
      <c r="C46" t="s">
        <v>108</v>
      </c>
      <c r="D46" t="s">
        <v>12</v>
      </c>
      <c r="E46" t="s">
        <v>109</v>
      </c>
      <c r="F46" t="e">
        <v>#N/A</v>
      </c>
      <c r="G46">
        <v>2</v>
      </c>
      <c r="H46">
        <v>3</v>
      </c>
      <c r="I46">
        <v>4</v>
      </c>
      <c r="J46" s="2" t="e">
        <f t="shared" si="1"/>
        <v>#N/A</v>
      </c>
    </row>
    <row r="47" spans="1:10">
      <c r="A47" s="2" t="s">
        <v>9</v>
      </c>
      <c r="B47" s="2" t="s">
        <v>21</v>
      </c>
      <c r="C47" s="2" t="s">
        <v>110</v>
      </c>
      <c r="D47" s="2" t="s">
        <v>12</v>
      </c>
      <c r="E47" s="2" t="s">
        <v>111</v>
      </c>
      <c r="F47" s="2" t="e">
        <v>#N/A</v>
      </c>
      <c r="G47" s="2">
        <v>2</v>
      </c>
      <c r="H47" s="2">
        <v>3</v>
      </c>
      <c r="I47" s="2">
        <v>4</v>
      </c>
      <c r="J47" s="2" t="e">
        <f t="shared" si="1"/>
        <v>#N/A</v>
      </c>
    </row>
    <row r="48" spans="1:10">
      <c r="A48" t="s">
        <v>9</v>
      </c>
      <c r="B48" t="s">
        <v>33</v>
      </c>
      <c r="C48" t="s">
        <v>112</v>
      </c>
      <c r="D48" t="s">
        <v>12</v>
      </c>
      <c r="E48" t="s">
        <v>113</v>
      </c>
      <c r="F48" t="e">
        <v>#N/A</v>
      </c>
      <c r="G48">
        <v>2</v>
      </c>
      <c r="H48">
        <v>3</v>
      </c>
      <c r="I48">
        <v>4</v>
      </c>
      <c r="J48" s="2" t="e">
        <f t="shared" si="1"/>
        <v>#N/A</v>
      </c>
    </row>
    <row r="49" spans="1:10">
      <c r="A49" s="2" t="s">
        <v>20</v>
      </c>
      <c r="B49" s="2" t="s">
        <v>21</v>
      </c>
      <c r="C49" s="2" t="s">
        <v>114</v>
      </c>
      <c r="D49" s="2" t="s">
        <v>12</v>
      </c>
      <c r="E49" s="2" t="s">
        <v>115</v>
      </c>
      <c r="F49" s="2" t="e">
        <v>#N/A</v>
      </c>
      <c r="G49" s="2">
        <v>2</v>
      </c>
      <c r="H49" s="2">
        <v>3</v>
      </c>
      <c r="I49" s="2">
        <v>4</v>
      </c>
      <c r="J49" s="2" t="e">
        <f t="shared" si="1"/>
        <v>#N/A</v>
      </c>
    </row>
    <row r="50" spans="1:10">
      <c r="A50" t="s">
        <v>9</v>
      </c>
      <c r="B50" t="s">
        <v>33</v>
      </c>
      <c r="C50" t="s">
        <v>116</v>
      </c>
      <c r="D50" t="s">
        <v>117</v>
      </c>
      <c r="E50" t="s">
        <v>118</v>
      </c>
      <c r="F50" t="e">
        <v>#N/A</v>
      </c>
      <c r="G50">
        <v>2</v>
      </c>
      <c r="H50">
        <v>3</v>
      </c>
      <c r="I50">
        <v>4</v>
      </c>
      <c r="J50" s="2" t="e">
        <f t="shared" si="1"/>
        <v>#N/A</v>
      </c>
    </row>
    <row r="51" spans="1:10">
      <c r="A51" s="2" t="s">
        <v>20</v>
      </c>
      <c r="B51" s="2" t="s">
        <v>33</v>
      </c>
      <c r="C51" s="2" t="s">
        <v>119</v>
      </c>
      <c r="D51" s="2" t="s">
        <v>117</v>
      </c>
      <c r="E51" s="2" t="s">
        <v>120</v>
      </c>
      <c r="F51" s="2" t="e">
        <v>#N/A</v>
      </c>
      <c r="G51" s="2">
        <v>2</v>
      </c>
      <c r="H51" s="2">
        <v>3</v>
      </c>
      <c r="I51" s="2">
        <v>4</v>
      </c>
      <c r="J51" s="2" t="e">
        <f t="shared" si="1"/>
        <v>#N/A</v>
      </c>
    </row>
    <row r="52" spans="1:10">
      <c r="A52" t="s">
        <v>32</v>
      </c>
      <c r="B52" t="s">
        <v>33</v>
      </c>
      <c r="C52" t="s">
        <v>121</v>
      </c>
      <c r="D52" t="s">
        <v>117</v>
      </c>
      <c r="E52" t="s">
        <v>122</v>
      </c>
      <c r="F52" t="e">
        <v>#N/A</v>
      </c>
      <c r="G52">
        <v>2</v>
      </c>
      <c r="H52">
        <v>3</v>
      </c>
      <c r="I52">
        <v>4</v>
      </c>
      <c r="J52" s="2" t="e">
        <f t="shared" si="1"/>
        <v>#N/A</v>
      </c>
    </row>
    <row r="53" spans="1:10">
      <c r="A53" s="2" t="s">
        <v>20</v>
      </c>
      <c r="B53" s="2" t="s">
        <v>33</v>
      </c>
      <c r="C53" s="2" t="s">
        <v>123</v>
      </c>
      <c r="D53" s="2" t="s">
        <v>117</v>
      </c>
      <c r="E53" s="2" t="s">
        <v>124</v>
      </c>
      <c r="F53" s="2" t="e">
        <v>#N/A</v>
      </c>
      <c r="G53" s="2">
        <v>2</v>
      </c>
      <c r="H53" s="2">
        <v>3</v>
      </c>
      <c r="I53" s="2">
        <v>4</v>
      </c>
      <c r="J53" s="2" t="e">
        <f t="shared" si="1"/>
        <v>#N/A</v>
      </c>
    </row>
    <row r="54" spans="1:10">
      <c r="A54" t="s">
        <v>32</v>
      </c>
      <c r="B54" t="s">
        <v>33</v>
      </c>
      <c r="C54" t="s">
        <v>125</v>
      </c>
      <c r="D54" t="s">
        <v>117</v>
      </c>
      <c r="E54" t="s">
        <v>126</v>
      </c>
      <c r="F54" t="e">
        <v>#N/A</v>
      </c>
      <c r="G54">
        <v>2</v>
      </c>
      <c r="H54">
        <v>3</v>
      </c>
      <c r="I54">
        <v>4</v>
      </c>
      <c r="J54" s="2" t="e">
        <f t="shared" si="1"/>
        <v>#N/A</v>
      </c>
    </row>
    <row r="55" spans="1:10">
      <c r="A55" s="2" t="s">
        <v>20</v>
      </c>
      <c r="B55" s="2" t="s">
        <v>36</v>
      </c>
      <c r="C55" s="2" t="s">
        <v>127</v>
      </c>
      <c r="D55" s="2" t="s">
        <v>117</v>
      </c>
      <c r="E55" s="2" t="s">
        <v>128</v>
      </c>
      <c r="F55" s="2" t="e">
        <v>#N/A</v>
      </c>
      <c r="G55" s="2">
        <v>2</v>
      </c>
      <c r="H55" s="2">
        <v>3</v>
      </c>
      <c r="I55" s="2">
        <v>4</v>
      </c>
      <c r="J55" s="2" t="e">
        <f t="shared" si="1"/>
        <v>#N/A</v>
      </c>
    </row>
    <row r="56" spans="1:10">
      <c r="A56" t="s">
        <v>20</v>
      </c>
      <c r="B56" t="s">
        <v>14</v>
      </c>
      <c r="C56" t="s">
        <v>129</v>
      </c>
      <c r="D56" t="s">
        <v>117</v>
      </c>
      <c r="E56" t="s">
        <v>130</v>
      </c>
      <c r="F56" t="e">
        <v>#N/A</v>
      </c>
      <c r="G56">
        <v>2</v>
      </c>
      <c r="H56">
        <v>3</v>
      </c>
      <c r="I56">
        <v>4</v>
      </c>
      <c r="J56" s="2" t="e">
        <f t="shared" si="1"/>
        <v>#N/A</v>
      </c>
    </row>
    <row r="57" spans="1:10">
      <c r="A57" s="2" t="s">
        <v>20</v>
      </c>
      <c r="B57" s="2" t="s">
        <v>14</v>
      </c>
      <c r="C57" s="2" t="s">
        <v>131</v>
      </c>
      <c r="D57" s="2" t="s">
        <v>117</v>
      </c>
      <c r="E57" s="2" t="s">
        <v>132</v>
      </c>
      <c r="F57" s="2" t="e">
        <v>#N/A</v>
      </c>
      <c r="G57" s="2">
        <v>2</v>
      </c>
      <c r="H57" s="2">
        <v>3</v>
      </c>
      <c r="I57" s="2">
        <v>4</v>
      </c>
      <c r="J57" s="2" t="e">
        <f t="shared" si="1"/>
        <v>#N/A</v>
      </c>
    </row>
    <row r="58" spans="1:10">
      <c r="A58" t="s">
        <v>20</v>
      </c>
      <c r="B58" t="s">
        <v>14</v>
      </c>
      <c r="C58" t="s">
        <v>133</v>
      </c>
      <c r="D58" t="s">
        <v>117</v>
      </c>
      <c r="E58" t="s">
        <v>134</v>
      </c>
      <c r="F58" t="e">
        <v>#N/A</v>
      </c>
      <c r="G58">
        <v>2</v>
      </c>
      <c r="H58">
        <v>3</v>
      </c>
      <c r="I58">
        <v>4</v>
      </c>
      <c r="J58" s="2" t="e">
        <f t="shared" si="1"/>
        <v>#N/A</v>
      </c>
    </row>
    <row r="59" spans="1:10">
      <c r="A59" s="2" t="s">
        <v>32</v>
      </c>
      <c r="B59" s="2" t="s">
        <v>14</v>
      </c>
      <c r="C59" s="2" t="s">
        <v>135</v>
      </c>
      <c r="D59" s="2" t="s">
        <v>117</v>
      </c>
      <c r="E59" s="2" t="s">
        <v>136</v>
      </c>
      <c r="F59" s="2" t="e">
        <v>#N/A</v>
      </c>
      <c r="G59" s="2">
        <v>2</v>
      </c>
      <c r="H59" s="2">
        <v>3</v>
      </c>
      <c r="I59" s="2">
        <v>4</v>
      </c>
      <c r="J59" s="2" t="e">
        <f t="shared" si="1"/>
        <v>#N/A</v>
      </c>
    </row>
    <row r="60" spans="1:10">
      <c r="A60" t="s">
        <v>20</v>
      </c>
      <c r="B60" t="s">
        <v>14</v>
      </c>
      <c r="C60" t="s">
        <v>137</v>
      </c>
      <c r="D60" t="s">
        <v>117</v>
      </c>
      <c r="E60" t="s">
        <v>138</v>
      </c>
      <c r="F60" t="e">
        <v>#N/A</v>
      </c>
      <c r="G60">
        <v>2</v>
      </c>
      <c r="H60">
        <v>3</v>
      </c>
      <c r="I60">
        <v>4</v>
      </c>
      <c r="J60" s="2" t="e">
        <f t="shared" si="1"/>
        <v>#N/A</v>
      </c>
    </row>
    <row r="61" spans="1:10">
      <c r="A61" s="2" t="s">
        <v>32</v>
      </c>
      <c r="B61" s="2" t="s">
        <v>10</v>
      </c>
      <c r="C61" s="2" t="s">
        <v>139</v>
      </c>
      <c r="D61" s="2" t="s">
        <v>117</v>
      </c>
      <c r="E61" s="2" t="s">
        <v>140</v>
      </c>
      <c r="F61" s="2" t="e">
        <v>#N/A</v>
      </c>
      <c r="G61" s="2">
        <v>2</v>
      </c>
      <c r="H61" s="2">
        <v>3</v>
      </c>
      <c r="I61" s="2">
        <v>4</v>
      </c>
      <c r="J61" s="2" t="e">
        <f t="shared" si="1"/>
        <v>#N/A</v>
      </c>
    </row>
    <row r="62" spans="1:10">
      <c r="A62" t="s">
        <v>20</v>
      </c>
      <c r="B62" t="s">
        <v>33</v>
      </c>
      <c r="C62" t="s">
        <v>141</v>
      </c>
      <c r="D62" t="s">
        <v>117</v>
      </c>
      <c r="E62" t="s">
        <v>142</v>
      </c>
      <c r="F62" t="e">
        <v>#N/A</v>
      </c>
      <c r="G62">
        <v>2</v>
      </c>
      <c r="H62">
        <v>3</v>
      </c>
      <c r="I62">
        <v>4</v>
      </c>
      <c r="J62" s="2" t="e">
        <f t="shared" si="1"/>
        <v>#N/A</v>
      </c>
    </row>
    <row r="63" spans="1:10">
      <c r="A63" s="2" t="s">
        <v>32</v>
      </c>
      <c r="B63" s="2" t="s">
        <v>10</v>
      </c>
      <c r="C63" s="2" t="s">
        <v>143</v>
      </c>
      <c r="D63" s="2" t="s">
        <v>117</v>
      </c>
      <c r="E63" s="2" t="s">
        <v>144</v>
      </c>
      <c r="F63" s="2" t="e">
        <v>#N/A</v>
      </c>
      <c r="G63" s="2">
        <v>2</v>
      </c>
      <c r="H63" s="2">
        <v>3</v>
      </c>
      <c r="I63" s="2">
        <v>4</v>
      </c>
      <c r="J63" s="2" t="e">
        <f t="shared" si="1"/>
        <v>#N/A</v>
      </c>
    </row>
    <row r="64" spans="1:10">
      <c r="A64" t="s">
        <v>20</v>
      </c>
      <c r="B64" t="s">
        <v>36</v>
      </c>
      <c r="C64" t="s">
        <v>145</v>
      </c>
      <c r="D64" t="s">
        <v>117</v>
      </c>
      <c r="E64" t="s">
        <v>146</v>
      </c>
      <c r="F64" t="e">
        <v>#N/A</v>
      </c>
      <c r="G64">
        <v>2</v>
      </c>
      <c r="H64">
        <v>3</v>
      </c>
      <c r="I64">
        <v>4</v>
      </c>
      <c r="J64" s="2" t="e">
        <f t="shared" si="1"/>
        <v>#N/A</v>
      </c>
    </row>
    <row r="65" spans="1:10">
      <c r="A65" s="2" t="s">
        <v>20</v>
      </c>
      <c r="B65" s="2" t="s">
        <v>36</v>
      </c>
      <c r="C65" s="2" t="s">
        <v>147</v>
      </c>
      <c r="D65" s="2" t="s">
        <v>117</v>
      </c>
      <c r="E65" s="2" t="s">
        <v>148</v>
      </c>
      <c r="F65" s="2" t="e">
        <v>#N/A</v>
      </c>
      <c r="G65" s="2">
        <v>2</v>
      </c>
      <c r="H65" s="2">
        <v>3</v>
      </c>
      <c r="I65" s="2">
        <v>4</v>
      </c>
      <c r="J65" s="2" t="e">
        <f t="shared" si="1"/>
        <v>#N/A</v>
      </c>
    </row>
    <row r="66" spans="1:10">
      <c r="A66" t="s">
        <v>32</v>
      </c>
      <c r="B66" t="s">
        <v>36</v>
      </c>
      <c r="C66" t="s">
        <v>149</v>
      </c>
      <c r="D66" t="s">
        <v>117</v>
      </c>
      <c r="E66" t="s">
        <v>150</v>
      </c>
      <c r="F66" t="e">
        <v>#N/A</v>
      </c>
      <c r="G66">
        <v>2</v>
      </c>
      <c r="H66">
        <v>3</v>
      </c>
      <c r="I66">
        <v>4</v>
      </c>
      <c r="J66" s="2" t="e">
        <f t="shared" si="1"/>
        <v>#N/A</v>
      </c>
    </row>
    <row r="67" spans="1:10">
      <c r="A67" s="2" t="s">
        <v>9</v>
      </c>
      <c r="B67" s="2" t="s">
        <v>36</v>
      </c>
      <c r="C67" s="2" t="s">
        <v>151</v>
      </c>
      <c r="D67" s="2" t="s">
        <v>117</v>
      </c>
      <c r="E67" s="2" t="s">
        <v>152</v>
      </c>
      <c r="F67" s="2" t="e">
        <v>#N/A</v>
      </c>
      <c r="G67" s="2">
        <v>2</v>
      </c>
      <c r="H67" s="2">
        <v>3</v>
      </c>
      <c r="I67" s="2">
        <v>4</v>
      </c>
      <c r="J67" s="2" t="e">
        <f t="shared" si="1"/>
        <v>#N/A</v>
      </c>
    </row>
    <row r="68" spans="1:10">
      <c r="A68" t="s">
        <v>32</v>
      </c>
      <c r="B68" t="s">
        <v>36</v>
      </c>
      <c r="C68" t="s">
        <v>153</v>
      </c>
      <c r="D68" t="s">
        <v>117</v>
      </c>
      <c r="E68" t="s">
        <v>154</v>
      </c>
      <c r="F68" t="e">
        <v>#N/A</v>
      </c>
      <c r="G68">
        <v>2</v>
      </c>
      <c r="H68">
        <v>3</v>
      </c>
      <c r="I68">
        <v>4</v>
      </c>
      <c r="J68" s="2" t="e">
        <f t="shared" si="1"/>
        <v>#N/A</v>
      </c>
    </row>
    <row r="69" spans="1:10">
      <c r="A69" s="2" t="s">
        <v>32</v>
      </c>
      <c r="B69" s="2" t="s">
        <v>36</v>
      </c>
      <c r="C69" s="2" t="s">
        <v>155</v>
      </c>
      <c r="D69" s="2" t="s">
        <v>117</v>
      </c>
      <c r="E69" s="2" t="s">
        <v>156</v>
      </c>
      <c r="F69" s="2" t="e">
        <v>#N/A</v>
      </c>
      <c r="G69" s="2">
        <v>2</v>
      </c>
      <c r="H69" s="2">
        <v>3</v>
      </c>
      <c r="I69" s="2">
        <v>4</v>
      </c>
      <c r="J69" s="2" t="e">
        <f t="shared" si="1"/>
        <v>#N/A</v>
      </c>
    </row>
    <row r="70" spans="1:10">
      <c r="A70" t="s">
        <v>32</v>
      </c>
      <c r="B70" t="s">
        <v>33</v>
      </c>
      <c r="C70" t="s">
        <v>157</v>
      </c>
      <c r="D70" t="s">
        <v>117</v>
      </c>
      <c r="E70" t="s">
        <v>158</v>
      </c>
      <c r="F70" t="e">
        <v>#N/A</v>
      </c>
      <c r="G70">
        <v>2</v>
      </c>
      <c r="H70">
        <v>3</v>
      </c>
      <c r="I70">
        <v>4</v>
      </c>
      <c r="J70" s="2" t="e">
        <f t="shared" si="1"/>
        <v>#N/A</v>
      </c>
    </row>
    <row r="71" spans="1:10">
      <c r="A71" s="2" t="s">
        <v>20</v>
      </c>
      <c r="B71" s="2" t="s">
        <v>33</v>
      </c>
      <c r="C71" s="2" t="s">
        <v>159</v>
      </c>
      <c r="D71" s="2" t="s">
        <v>117</v>
      </c>
      <c r="E71" s="2" t="s">
        <v>160</v>
      </c>
      <c r="F71" s="2" t="e">
        <v>#N/A</v>
      </c>
      <c r="G71" s="2">
        <v>2</v>
      </c>
      <c r="H71" s="2">
        <v>3</v>
      </c>
      <c r="I71" s="2">
        <v>4</v>
      </c>
      <c r="J71" s="2" t="e">
        <f t="shared" si="1"/>
        <v>#N/A</v>
      </c>
    </row>
    <row r="72" spans="1:10">
      <c r="A72" t="s">
        <v>32</v>
      </c>
      <c r="B72" t="s">
        <v>14</v>
      </c>
      <c r="C72" t="s">
        <v>161</v>
      </c>
      <c r="D72" t="s">
        <v>117</v>
      </c>
      <c r="E72" t="s">
        <v>162</v>
      </c>
      <c r="F72" t="e">
        <v>#N/A</v>
      </c>
      <c r="G72">
        <v>2</v>
      </c>
      <c r="H72">
        <v>3</v>
      </c>
      <c r="I72">
        <v>4</v>
      </c>
      <c r="J72" s="2" t="e">
        <f t="shared" si="1"/>
        <v>#N/A</v>
      </c>
    </row>
    <row r="73" spans="1:10">
      <c r="A73" s="2" t="s">
        <v>20</v>
      </c>
      <c r="B73" s="2" t="s">
        <v>14</v>
      </c>
      <c r="C73" s="2" t="s">
        <v>163</v>
      </c>
      <c r="D73" s="2" t="s">
        <v>117</v>
      </c>
      <c r="E73" s="2" t="s">
        <v>164</v>
      </c>
      <c r="F73" s="2" t="e">
        <v>#N/A</v>
      </c>
      <c r="G73" s="2">
        <v>2</v>
      </c>
      <c r="H73" s="2">
        <v>3</v>
      </c>
      <c r="I73" s="2">
        <v>4</v>
      </c>
      <c r="J73" s="2" t="e">
        <f t="shared" si="1"/>
        <v>#N/A</v>
      </c>
    </row>
    <row r="74" spans="1:10">
      <c r="A74" t="s">
        <v>32</v>
      </c>
      <c r="B74" t="s">
        <v>33</v>
      </c>
      <c r="C74" t="s">
        <v>221</v>
      </c>
      <c r="D74" t="s">
        <v>117</v>
      </c>
      <c r="E74" t="s">
        <v>222</v>
      </c>
      <c r="F74" t="e">
        <v>#N/A</v>
      </c>
      <c r="G74">
        <v>2</v>
      </c>
      <c r="H74">
        <v>3</v>
      </c>
      <c r="I74">
        <v>4</v>
      </c>
      <c r="J74" s="2" t="e">
        <f>IF(F74&gt;=I74,4,IF(F74&gt;=H74,3,IF(F74&gt;=G74,2,1)))</f>
        <v>#N/A</v>
      </c>
    </row>
    <row r="75" spans="1:10">
      <c r="A75" s="2" t="s">
        <v>20</v>
      </c>
      <c r="B75" s="2" t="s">
        <v>33</v>
      </c>
      <c r="C75" s="2" t="s">
        <v>223</v>
      </c>
      <c r="D75" s="2" t="s">
        <v>117</v>
      </c>
      <c r="E75" s="2" t="s">
        <v>224</v>
      </c>
      <c r="F75" s="2" t="e">
        <v>#N/A</v>
      </c>
      <c r="G75" s="2">
        <v>2</v>
      </c>
      <c r="H75" s="2">
        <v>3</v>
      </c>
      <c r="I75" s="2">
        <v>4</v>
      </c>
      <c r="J75" s="2" t="e">
        <f>IF(F75&gt;=I75,4,IF(F75&gt;=H75,3,IF(F75&gt;=G75,2,1)))</f>
        <v>#N/A</v>
      </c>
    </row>
    <row r="76" spans="1:10">
      <c r="A76" t="s">
        <v>32</v>
      </c>
      <c r="B76" t="s">
        <v>14</v>
      </c>
      <c r="C76" t="s">
        <v>225</v>
      </c>
      <c r="D76" t="s">
        <v>117</v>
      </c>
      <c r="E76" t="s">
        <v>226</v>
      </c>
      <c r="F76" t="e">
        <v>#N/A</v>
      </c>
      <c r="G76">
        <v>2</v>
      </c>
      <c r="H76">
        <v>3</v>
      </c>
      <c r="I76">
        <v>4</v>
      </c>
      <c r="J76" s="2" t="e">
        <f>IF(F76&gt;=I76,4,IF(F76&gt;=H76,3,IF(F76&gt;=G76,2,1)))</f>
        <v>#N/A</v>
      </c>
    </row>
    <row r="77" spans="1:10">
      <c r="A77" s="2" t="s">
        <v>20</v>
      </c>
      <c r="B77" s="2" t="s">
        <v>14</v>
      </c>
      <c r="C77" s="2" t="s">
        <v>227</v>
      </c>
      <c r="D77" s="2" t="s">
        <v>117</v>
      </c>
      <c r="E77" s="2" t="s">
        <v>228</v>
      </c>
      <c r="F77" s="2" t="e">
        <v>#N/A</v>
      </c>
      <c r="G77" s="2">
        <v>2</v>
      </c>
      <c r="H77" s="2">
        <v>3</v>
      </c>
      <c r="I77" s="2">
        <v>4</v>
      </c>
      <c r="J77" s="2" t="e">
        <f>IF(F77&gt;=I77,4,IF(F77&gt;=H77,3,IF(F77&gt;=G77,2,1)))</f>
        <v>#N/A</v>
      </c>
    </row>
    <row r="78" spans="1:10">
      <c r="A78" t="s">
        <v>32</v>
      </c>
      <c r="B78" t="s">
        <v>36</v>
      </c>
      <c r="C78" t="s">
        <v>165</v>
      </c>
      <c r="D78" t="s">
        <v>117</v>
      </c>
      <c r="E78" t="s">
        <v>166</v>
      </c>
      <c r="F78" t="e">
        <v>#N/A</v>
      </c>
      <c r="G78">
        <v>2</v>
      </c>
      <c r="H78">
        <v>3</v>
      </c>
      <c r="I78">
        <v>4</v>
      </c>
      <c r="J78" s="2" t="e">
        <f>IF(F78&gt;=I78,4,IF(F78&gt;=H78,3,IF(F78&gt;=G78,2,1)))</f>
        <v>#N/A</v>
      </c>
    </row>
    <row r="79" spans="1:10">
      <c r="A79" s="2" t="s">
        <v>167</v>
      </c>
      <c r="B79" s="2" t="s">
        <v>211</v>
      </c>
      <c r="C79" s="2" t="s">
        <v>168</v>
      </c>
      <c r="D79" s="2" t="s">
        <v>117</v>
      </c>
      <c r="E79" s="2" t="s">
        <v>169</v>
      </c>
      <c r="F79" s="2" t="e">
        <v>#N/A</v>
      </c>
      <c r="G79" s="2">
        <v>2</v>
      </c>
      <c r="H79" s="2">
        <v>3</v>
      </c>
      <c r="I79" s="2">
        <v>4</v>
      </c>
      <c r="J79" s="2" t="e">
        <f t="shared" ref="J79:J85" si="2">IF(F79&gt;=I79,4,IF(F79&gt;=H79,3,IF(F79&gt;=G79,2,1)))</f>
        <v>#N/A</v>
      </c>
    </row>
    <row r="80" spans="1:10">
      <c r="A80" t="s">
        <v>167</v>
      </c>
      <c r="B80" t="s">
        <v>211</v>
      </c>
      <c r="C80" t="s">
        <v>170</v>
      </c>
      <c r="D80" t="s">
        <v>117</v>
      </c>
      <c r="E80" t="s">
        <v>171</v>
      </c>
      <c r="F80" t="e">
        <v>#N/A</v>
      </c>
      <c r="G80">
        <v>2</v>
      </c>
      <c r="H80">
        <v>3</v>
      </c>
      <c r="I80">
        <v>4</v>
      </c>
      <c r="J80" s="2" t="e">
        <f t="shared" si="2"/>
        <v>#N/A</v>
      </c>
    </row>
    <row r="81" spans="1:10">
      <c r="A81" s="2" t="s">
        <v>167</v>
      </c>
      <c r="B81" s="2" t="s">
        <v>211</v>
      </c>
      <c r="C81" s="2" t="s">
        <v>172</v>
      </c>
      <c r="D81" s="2" t="s">
        <v>117</v>
      </c>
      <c r="E81" s="2" t="s">
        <v>173</v>
      </c>
      <c r="F81" s="2" t="e">
        <v>#N/A</v>
      </c>
      <c r="G81" s="2">
        <v>2</v>
      </c>
      <c r="H81" s="2">
        <v>3</v>
      </c>
      <c r="I81" s="2">
        <v>4</v>
      </c>
      <c r="J81" s="2" t="e">
        <f t="shared" si="2"/>
        <v>#N/A</v>
      </c>
    </row>
    <row r="82" spans="1:10">
      <c r="A82" t="s">
        <v>43</v>
      </c>
      <c r="B82" t="s">
        <v>212</v>
      </c>
      <c r="C82" t="s">
        <v>174</v>
      </c>
      <c r="D82" t="s">
        <v>117</v>
      </c>
      <c r="E82" t="s">
        <v>175</v>
      </c>
      <c r="F82" t="e">
        <v>#N/A</v>
      </c>
      <c r="G82">
        <v>2</v>
      </c>
      <c r="H82">
        <v>3</v>
      </c>
      <c r="I82">
        <v>4</v>
      </c>
      <c r="J82" s="2" t="e">
        <f t="shared" si="2"/>
        <v>#N/A</v>
      </c>
    </row>
    <row r="83" spans="1:10">
      <c r="A83" s="2" t="s">
        <v>167</v>
      </c>
      <c r="B83" s="2" t="s">
        <v>211</v>
      </c>
      <c r="C83" s="2" t="s">
        <v>176</v>
      </c>
      <c r="D83" s="2" t="s">
        <v>117</v>
      </c>
      <c r="E83" s="2" t="s">
        <v>177</v>
      </c>
      <c r="F83" s="2" t="e">
        <v>#N/A</v>
      </c>
      <c r="G83" s="2">
        <v>2</v>
      </c>
      <c r="H83" s="2">
        <v>3</v>
      </c>
      <c r="I83" s="2">
        <v>4</v>
      </c>
      <c r="J83" s="2" t="e">
        <f t="shared" si="2"/>
        <v>#N/A</v>
      </c>
    </row>
    <row r="84" spans="1:10">
      <c r="A84" t="s">
        <v>167</v>
      </c>
      <c r="B84" t="s">
        <v>211</v>
      </c>
      <c r="C84" t="s">
        <v>178</v>
      </c>
      <c r="D84" t="s">
        <v>117</v>
      </c>
      <c r="E84" t="s">
        <v>179</v>
      </c>
      <c r="F84" t="e">
        <v>#N/A</v>
      </c>
      <c r="G84">
        <v>2</v>
      </c>
      <c r="H84">
        <v>3</v>
      </c>
      <c r="I84">
        <v>4</v>
      </c>
      <c r="J84" s="2" t="e">
        <f t="shared" si="2"/>
        <v>#N/A</v>
      </c>
    </row>
    <row r="85" spans="1:10">
      <c r="A85" s="2" t="s">
        <v>20</v>
      </c>
      <c r="B85" s="2" t="s">
        <v>36</v>
      </c>
      <c r="C85" s="2" t="s">
        <v>180</v>
      </c>
      <c r="D85" s="2" t="s">
        <v>117</v>
      </c>
      <c r="E85" s="2" t="s">
        <v>181</v>
      </c>
      <c r="F85" s="2" t="e">
        <v>#N/A</v>
      </c>
      <c r="G85" s="2">
        <v>2</v>
      </c>
      <c r="H85" s="2">
        <v>3</v>
      </c>
      <c r="I85" s="2">
        <v>4</v>
      </c>
      <c r="J85" s="2" t="e">
        <f t="shared" si="2"/>
        <v>#N/A</v>
      </c>
    </row>
    <row r="86" spans="1:10">
      <c r="A86" t="s">
        <v>43</v>
      </c>
      <c r="B86" t="s">
        <v>212</v>
      </c>
      <c r="C86" t="s">
        <v>182</v>
      </c>
      <c r="D86" t="s">
        <v>183</v>
      </c>
      <c r="E86" t="s">
        <v>184</v>
      </c>
      <c r="F86" t="e">
        <v>#N/A</v>
      </c>
      <c r="G86">
        <v>2</v>
      </c>
      <c r="H86">
        <v>3</v>
      </c>
      <c r="I86">
        <v>4</v>
      </c>
      <c r="J86" s="2" t="e">
        <f>IF(F86=3,3,IF(F86=4,2,IF(F86&lt;=2,4,IF(F86&gt;=5,1))))</f>
        <v>#N/A</v>
      </c>
    </row>
    <row r="87" spans="1:10">
      <c r="A87" s="2" t="s">
        <v>20</v>
      </c>
      <c r="B87" s="2" t="s">
        <v>10</v>
      </c>
      <c r="C87" s="2" t="s">
        <v>185</v>
      </c>
      <c r="D87" s="2" t="s">
        <v>183</v>
      </c>
      <c r="E87" s="2" t="s">
        <v>186</v>
      </c>
      <c r="F87" s="2" t="e">
        <v>#N/A</v>
      </c>
      <c r="G87" s="2">
        <v>2</v>
      </c>
      <c r="H87" s="2">
        <v>3</v>
      </c>
      <c r="I87" s="2">
        <v>4</v>
      </c>
      <c r="J87" s="2" t="e">
        <f t="shared" ref="J87:J97" si="3">IF(F87=3,3,IF(F87=4,2,IF(F87&lt;=2,4,IF(F87&gt;=5,1))))</f>
        <v>#N/A</v>
      </c>
    </row>
    <row r="88" spans="1:10">
      <c r="A88" t="s">
        <v>167</v>
      </c>
      <c r="B88" t="s">
        <v>211</v>
      </c>
      <c r="C88" t="s">
        <v>187</v>
      </c>
      <c r="D88" t="s">
        <v>183</v>
      </c>
      <c r="E88" t="s">
        <v>188</v>
      </c>
      <c r="F88" t="e">
        <v>#N/A</v>
      </c>
      <c r="G88">
        <v>2</v>
      </c>
      <c r="H88">
        <v>3</v>
      </c>
      <c r="I88">
        <v>4</v>
      </c>
      <c r="J88" s="2" t="e">
        <f t="shared" si="3"/>
        <v>#N/A</v>
      </c>
    </row>
    <row r="89" spans="1:10">
      <c r="A89" s="2" t="s">
        <v>20</v>
      </c>
      <c r="B89" s="2" t="s">
        <v>10</v>
      </c>
      <c r="C89" s="2" t="s">
        <v>189</v>
      </c>
      <c r="D89" s="2" t="s">
        <v>183</v>
      </c>
      <c r="E89" s="2" t="s">
        <v>190</v>
      </c>
      <c r="F89" s="2" t="e">
        <v>#N/A</v>
      </c>
      <c r="G89" s="2">
        <v>2</v>
      </c>
      <c r="H89" s="2">
        <v>3</v>
      </c>
      <c r="I89" s="2">
        <v>4</v>
      </c>
      <c r="J89" s="2" t="e">
        <f t="shared" si="3"/>
        <v>#N/A</v>
      </c>
    </row>
    <row r="90" spans="1:10">
      <c r="A90" t="s">
        <v>20</v>
      </c>
      <c r="B90" t="s">
        <v>14</v>
      </c>
      <c r="C90" t="s">
        <v>191</v>
      </c>
      <c r="D90" t="s">
        <v>183</v>
      </c>
      <c r="E90" t="s">
        <v>192</v>
      </c>
      <c r="F90" t="e">
        <v>#N/A</v>
      </c>
      <c r="G90">
        <v>2</v>
      </c>
      <c r="H90">
        <v>3</v>
      </c>
      <c r="I90">
        <v>4</v>
      </c>
      <c r="J90" s="2" t="e">
        <f t="shared" si="3"/>
        <v>#N/A</v>
      </c>
    </row>
    <row r="91" spans="1:10">
      <c r="A91" s="2" t="s">
        <v>43</v>
      </c>
      <c r="B91" s="2" t="s">
        <v>213</v>
      </c>
      <c r="C91" s="2" t="s">
        <v>193</v>
      </c>
      <c r="D91" s="2" t="s">
        <v>183</v>
      </c>
      <c r="E91" s="2" t="s">
        <v>194</v>
      </c>
      <c r="F91" s="2" t="e">
        <v>#N/A</v>
      </c>
      <c r="G91" s="2">
        <v>2</v>
      </c>
      <c r="H91" s="2">
        <v>3</v>
      </c>
      <c r="I91" s="2">
        <v>4</v>
      </c>
      <c r="J91" s="2" t="e">
        <f t="shared" si="3"/>
        <v>#N/A</v>
      </c>
    </row>
    <row r="92" spans="1:10">
      <c r="A92" t="s">
        <v>167</v>
      </c>
      <c r="B92" t="s">
        <v>211</v>
      </c>
      <c r="C92" t="s">
        <v>195</v>
      </c>
      <c r="D92" t="s">
        <v>183</v>
      </c>
      <c r="E92" t="s">
        <v>196</v>
      </c>
      <c r="F92" t="e">
        <v>#N/A</v>
      </c>
      <c r="G92">
        <v>2</v>
      </c>
      <c r="H92">
        <v>3</v>
      </c>
      <c r="I92">
        <v>4</v>
      </c>
      <c r="J92" s="2" t="e">
        <f t="shared" si="3"/>
        <v>#N/A</v>
      </c>
    </row>
    <row r="93" spans="1:10">
      <c r="A93" s="2" t="s">
        <v>32</v>
      </c>
      <c r="B93" s="2" t="s">
        <v>36</v>
      </c>
      <c r="C93" s="2" t="s">
        <v>197</v>
      </c>
      <c r="D93" s="2" t="s">
        <v>183</v>
      </c>
      <c r="E93" s="2" t="s">
        <v>198</v>
      </c>
      <c r="F93" s="2" t="e">
        <v>#N/A</v>
      </c>
      <c r="G93" s="2">
        <v>2</v>
      </c>
      <c r="H93" s="2">
        <v>3</v>
      </c>
      <c r="I93" s="2">
        <v>4</v>
      </c>
      <c r="J93" s="2" t="e">
        <f t="shared" si="3"/>
        <v>#N/A</v>
      </c>
    </row>
    <row r="94" spans="1:10">
      <c r="A94" t="s">
        <v>9</v>
      </c>
      <c r="B94" t="s">
        <v>36</v>
      </c>
      <c r="C94" t="s">
        <v>199</v>
      </c>
      <c r="D94" t="s">
        <v>183</v>
      </c>
      <c r="E94" t="s">
        <v>200</v>
      </c>
      <c r="F94" t="e">
        <v>#N/A</v>
      </c>
      <c r="G94">
        <v>2</v>
      </c>
      <c r="H94">
        <v>3</v>
      </c>
      <c r="I94">
        <v>4</v>
      </c>
      <c r="J94" s="2" t="e">
        <f t="shared" si="3"/>
        <v>#N/A</v>
      </c>
    </row>
    <row r="95" spans="1:10">
      <c r="A95" s="2" t="s">
        <v>32</v>
      </c>
      <c r="B95" s="2" t="s">
        <v>36</v>
      </c>
      <c r="C95" s="2" t="s">
        <v>201</v>
      </c>
      <c r="D95" s="2" t="s">
        <v>183</v>
      </c>
      <c r="E95" s="2" t="s">
        <v>202</v>
      </c>
      <c r="F95" s="2" t="e">
        <v>#N/A</v>
      </c>
      <c r="G95" s="2">
        <v>2</v>
      </c>
      <c r="H95" s="2">
        <v>3</v>
      </c>
      <c r="I95" s="2">
        <v>4</v>
      </c>
      <c r="J95" s="2" t="e">
        <f t="shared" si="3"/>
        <v>#N/A</v>
      </c>
    </row>
    <row r="96" spans="1:10">
      <c r="A96" t="s">
        <v>43</v>
      </c>
      <c r="B96" t="s">
        <v>213</v>
      </c>
      <c r="C96" t="s">
        <v>203</v>
      </c>
      <c r="D96" t="s">
        <v>183</v>
      </c>
      <c r="E96" t="s">
        <v>204</v>
      </c>
      <c r="F96" t="e">
        <v>#N/A</v>
      </c>
      <c r="G96">
        <v>2</v>
      </c>
      <c r="H96">
        <v>3</v>
      </c>
      <c r="I96">
        <v>4</v>
      </c>
      <c r="J96" s="2" t="e">
        <f t="shared" si="3"/>
        <v>#N/A</v>
      </c>
    </row>
    <row r="97" spans="1:12">
      <c r="A97" s="2" t="s">
        <v>43</v>
      </c>
      <c r="B97" s="2" t="s">
        <v>213</v>
      </c>
      <c r="C97" s="2" t="s">
        <v>205</v>
      </c>
      <c r="D97" s="2" t="s">
        <v>183</v>
      </c>
      <c r="E97" s="2" t="s">
        <v>206</v>
      </c>
      <c r="F97" s="2" t="e">
        <v>#N/A</v>
      </c>
      <c r="G97" s="2">
        <v>2</v>
      </c>
      <c r="H97" s="2">
        <v>3</v>
      </c>
      <c r="I97" s="2">
        <v>4</v>
      </c>
      <c r="J97" s="2" t="e">
        <f t="shared" si="3"/>
        <v>#N/A</v>
      </c>
    </row>
    <row r="98" spans="1:12">
      <c r="C98" t="s">
        <v>239</v>
      </c>
      <c r="D98" t="s">
        <v>183</v>
      </c>
      <c r="E98" t="s">
        <v>231</v>
      </c>
      <c r="F98" t="e">
        <v>#N/A</v>
      </c>
      <c r="G98">
        <v>2</v>
      </c>
      <c r="H98">
        <v>3</v>
      </c>
      <c r="I98">
        <v>4</v>
      </c>
      <c r="J98" s="2" t="e">
        <f t="shared" ref="J98:J153" si="4">IF(F98=3,3,IF(F98=4,2,IF(F98&lt;=2,4,IF(F98&gt;=5,1))))</f>
        <v>#N/A</v>
      </c>
    </row>
    <row r="99" spans="1:12">
      <c r="A99" s="2"/>
      <c r="B99" s="2"/>
      <c r="C99" s="2" t="s">
        <v>240</v>
      </c>
      <c r="D99" s="2" t="s">
        <v>183</v>
      </c>
      <c r="E99" s="2" t="s">
        <v>232</v>
      </c>
      <c r="F99" s="2" t="e">
        <v>#N/A</v>
      </c>
      <c r="G99" s="2">
        <v>2</v>
      </c>
      <c r="H99" s="2">
        <v>3</v>
      </c>
      <c r="I99" s="2">
        <v>4</v>
      </c>
      <c r="J99" s="2" t="e">
        <f t="shared" si="4"/>
        <v>#N/A</v>
      </c>
      <c r="L99" s="38"/>
    </row>
    <row r="100" spans="1:12">
      <c r="C100" t="s">
        <v>241</v>
      </c>
      <c r="D100" t="s">
        <v>183</v>
      </c>
      <c r="E100" t="s">
        <v>233</v>
      </c>
      <c r="F100" t="e">
        <v>#N/A</v>
      </c>
      <c r="G100">
        <v>2</v>
      </c>
      <c r="H100">
        <v>3</v>
      </c>
      <c r="I100">
        <v>4</v>
      </c>
      <c r="J100" s="2" t="e">
        <f t="shared" si="4"/>
        <v>#N/A</v>
      </c>
    </row>
    <row r="101" spans="1:12">
      <c r="A101" s="2"/>
      <c r="B101" s="2"/>
      <c r="C101" s="2" t="s">
        <v>242</v>
      </c>
      <c r="D101" s="2" t="s">
        <v>183</v>
      </c>
      <c r="E101" s="2" t="s">
        <v>234</v>
      </c>
      <c r="F101" s="2" t="e">
        <v>#N/A</v>
      </c>
      <c r="G101" s="2">
        <v>2</v>
      </c>
      <c r="H101" s="2">
        <v>3</v>
      </c>
      <c r="I101" s="2">
        <v>4</v>
      </c>
      <c r="J101" s="2" t="e">
        <f t="shared" si="4"/>
        <v>#N/A</v>
      </c>
    </row>
    <row r="102" spans="1:12">
      <c r="C102" t="s">
        <v>243</v>
      </c>
      <c r="D102" t="s">
        <v>183</v>
      </c>
      <c r="E102" t="s">
        <v>235</v>
      </c>
      <c r="F102" t="e">
        <v>#N/A</v>
      </c>
      <c r="G102">
        <v>2</v>
      </c>
      <c r="H102">
        <v>3</v>
      </c>
      <c r="I102">
        <v>4</v>
      </c>
      <c r="J102" s="2" t="e">
        <f t="shared" si="4"/>
        <v>#N/A</v>
      </c>
    </row>
    <row r="103" spans="1:12">
      <c r="A103" s="2"/>
      <c r="B103" s="2"/>
      <c r="C103" s="2" t="s">
        <v>244</v>
      </c>
      <c r="D103" s="2" t="s">
        <v>183</v>
      </c>
      <c r="E103" s="2" t="s">
        <v>236</v>
      </c>
      <c r="F103" s="2" t="e">
        <v>#N/A</v>
      </c>
      <c r="G103" s="2">
        <v>2</v>
      </c>
      <c r="H103" s="2">
        <v>3</v>
      </c>
      <c r="I103" s="2">
        <v>4</v>
      </c>
      <c r="J103" s="2" t="e">
        <f t="shared" si="4"/>
        <v>#N/A</v>
      </c>
    </row>
    <row r="104" spans="1:12">
      <c r="C104" t="s">
        <v>245</v>
      </c>
      <c r="D104" t="s">
        <v>183</v>
      </c>
      <c r="E104" t="s">
        <v>237</v>
      </c>
      <c r="F104" t="e">
        <v>#N/A</v>
      </c>
      <c r="G104">
        <v>2</v>
      </c>
      <c r="H104">
        <v>3</v>
      </c>
      <c r="I104">
        <v>4</v>
      </c>
      <c r="J104" s="2" t="e">
        <f t="shared" si="4"/>
        <v>#N/A</v>
      </c>
    </row>
    <row r="105" spans="1:12">
      <c r="A105" s="2"/>
      <c r="B105" s="2"/>
      <c r="C105" s="2" t="s">
        <v>246</v>
      </c>
      <c r="D105" s="2" t="s">
        <v>183</v>
      </c>
      <c r="E105" s="2" t="s">
        <v>238</v>
      </c>
      <c r="F105" s="2" t="e">
        <v>#N/A</v>
      </c>
      <c r="G105" s="2">
        <v>2</v>
      </c>
      <c r="H105" s="2">
        <v>3</v>
      </c>
      <c r="I105" s="2">
        <v>4</v>
      </c>
      <c r="J105" s="2" t="e">
        <f t="shared" si="4"/>
        <v>#N/A</v>
      </c>
    </row>
    <row r="106" spans="1:12">
      <c r="C106" t="s">
        <v>254</v>
      </c>
      <c r="D106" t="s">
        <v>183</v>
      </c>
      <c r="E106" t="s">
        <v>247</v>
      </c>
      <c r="F106" t="e">
        <v>#N/A</v>
      </c>
      <c r="G106">
        <v>2</v>
      </c>
      <c r="H106">
        <v>3</v>
      </c>
      <c r="I106">
        <v>4</v>
      </c>
      <c r="J106" s="2" t="e">
        <f t="shared" si="4"/>
        <v>#N/A</v>
      </c>
    </row>
    <row r="107" spans="1:12">
      <c r="A107" s="2"/>
      <c r="B107" s="2"/>
      <c r="C107" s="2" t="s">
        <v>255</v>
      </c>
      <c r="D107" s="2" t="s">
        <v>183</v>
      </c>
      <c r="E107" s="2" t="s">
        <v>248</v>
      </c>
      <c r="F107" s="2" t="e">
        <v>#N/A</v>
      </c>
      <c r="G107" s="2">
        <v>2</v>
      </c>
      <c r="H107" s="2">
        <v>3</v>
      </c>
      <c r="I107" s="2">
        <v>4</v>
      </c>
      <c r="J107" s="2" t="e">
        <f t="shared" si="4"/>
        <v>#N/A</v>
      </c>
    </row>
    <row r="108" spans="1:12">
      <c r="C108" t="s">
        <v>256</v>
      </c>
      <c r="D108" t="s">
        <v>183</v>
      </c>
      <c r="E108" t="s">
        <v>249</v>
      </c>
      <c r="F108" t="e">
        <v>#N/A</v>
      </c>
      <c r="G108">
        <v>2</v>
      </c>
      <c r="H108">
        <v>3</v>
      </c>
      <c r="I108">
        <v>4</v>
      </c>
      <c r="J108" s="2" t="e">
        <f t="shared" si="4"/>
        <v>#N/A</v>
      </c>
    </row>
    <row r="109" spans="1:12">
      <c r="A109" s="2"/>
      <c r="B109" s="2"/>
      <c r="C109" s="2" t="s">
        <v>257</v>
      </c>
      <c r="D109" s="2" t="s">
        <v>183</v>
      </c>
      <c r="E109" s="2" t="s">
        <v>250</v>
      </c>
      <c r="F109" s="2" t="e">
        <v>#N/A</v>
      </c>
      <c r="G109" s="2">
        <v>2</v>
      </c>
      <c r="H109" s="2">
        <v>3</v>
      </c>
      <c r="I109" s="2">
        <v>4</v>
      </c>
      <c r="J109" s="2" t="e">
        <f t="shared" si="4"/>
        <v>#N/A</v>
      </c>
    </row>
    <row r="110" spans="1:12">
      <c r="C110" t="s">
        <v>258</v>
      </c>
      <c r="D110" t="s">
        <v>183</v>
      </c>
      <c r="E110" t="s">
        <v>251</v>
      </c>
      <c r="F110" t="e">
        <v>#N/A</v>
      </c>
      <c r="G110">
        <v>2</v>
      </c>
      <c r="H110">
        <v>3</v>
      </c>
      <c r="I110">
        <v>4</v>
      </c>
      <c r="J110" s="2" t="e">
        <f t="shared" si="4"/>
        <v>#N/A</v>
      </c>
    </row>
    <row r="111" spans="1:12">
      <c r="A111" s="2"/>
      <c r="B111" s="2"/>
      <c r="C111" s="2" t="s">
        <v>259</v>
      </c>
      <c r="D111" s="2" t="s">
        <v>183</v>
      </c>
      <c r="E111" s="2" t="s">
        <v>252</v>
      </c>
      <c r="F111" s="2" t="e">
        <v>#N/A</v>
      </c>
      <c r="G111" s="2">
        <v>2</v>
      </c>
      <c r="H111" s="2">
        <v>3</v>
      </c>
      <c r="I111" s="2">
        <v>4</v>
      </c>
      <c r="J111" s="2" t="e">
        <f t="shared" si="4"/>
        <v>#N/A</v>
      </c>
    </row>
    <row r="112" spans="1:12">
      <c r="C112" t="s">
        <v>260</v>
      </c>
      <c r="D112" t="s">
        <v>183</v>
      </c>
      <c r="E112" t="s">
        <v>253</v>
      </c>
      <c r="F112" t="e">
        <v>#N/A</v>
      </c>
      <c r="G112">
        <v>2</v>
      </c>
      <c r="H112">
        <v>3</v>
      </c>
      <c r="I112">
        <v>4</v>
      </c>
      <c r="J112" s="2" t="e">
        <f t="shared" si="4"/>
        <v>#N/A</v>
      </c>
    </row>
    <row r="113" spans="1:10">
      <c r="A113" s="2"/>
      <c r="B113" s="2"/>
      <c r="C113" s="2" t="s">
        <v>266</v>
      </c>
      <c r="D113" s="2" t="s">
        <v>183</v>
      </c>
      <c r="E113" s="2" t="s">
        <v>261</v>
      </c>
      <c r="F113" s="2" t="e">
        <v>#N/A</v>
      </c>
      <c r="G113" s="2">
        <v>2</v>
      </c>
      <c r="H113" s="2">
        <v>3</v>
      </c>
      <c r="I113" s="2">
        <v>4</v>
      </c>
      <c r="J113" s="2" t="e">
        <f t="shared" si="4"/>
        <v>#N/A</v>
      </c>
    </row>
    <row r="114" spans="1:10">
      <c r="C114" t="s">
        <v>267</v>
      </c>
      <c r="D114" t="s">
        <v>183</v>
      </c>
      <c r="E114" t="s">
        <v>262</v>
      </c>
      <c r="F114" t="e">
        <v>#N/A</v>
      </c>
      <c r="G114">
        <v>2</v>
      </c>
      <c r="H114">
        <v>3</v>
      </c>
      <c r="I114">
        <v>4</v>
      </c>
      <c r="J114" s="2" t="e">
        <f t="shared" si="4"/>
        <v>#N/A</v>
      </c>
    </row>
    <row r="115" spans="1:10">
      <c r="A115" s="2"/>
      <c r="B115" s="2"/>
      <c r="C115" s="2" t="s">
        <v>268</v>
      </c>
      <c r="D115" s="2" t="s">
        <v>183</v>
      </c>
      <c r="E115" s="2" t="s">
        <v>263</v>
      </c>
      <c r="F115" s="2" t="e">
        <v>#N/A</v>
      </c>
      <c r="G115" s="2">
        <v>2</v>
      </c>
      <c r="H115" s="2">
        <v>3</v>
      </c>
      <c r="I115" s="2">
        <v>4</v>
      </c>
      <c r="J115" s="2" t="e">
        <f t="shared" si="4"/>
        <v>#N/A</v>
      </c>
    </row>
    <row r="116" spans="1:10">
      <c r="C116" t="s">
        <v>269</v>
      </c>
      <c r="D116" t="s">
        <v>183</v>
      </c>
      <c r="E116" t="s">
        <v>264</v>
      </c>
      <c r="F116" t="e">
        <v>#N/A</v>
      </c>
      <c r="G116">
        <v>2</v>
      </c>
      <c r="H116">
        <v>3</v>
      </c>
      <c r="I116">
        <v>4</v>
      </c>
      <c r="J116" s="2" t="e">
        <f t="shared" si="4"/>
        <v>#N/A</v>
      </c>
    </row>
    <row r="117" spans="1:10">
      <c r="A117" s="2"/>
      <c r="B117" s="2"/>
      <c r="C117" s="2" t="s">
        <v>270</v>
      </c>
      <c r="D117" s="2" t="s">
        <v>183</v>
      </c>
      <c r="E117" s="2" t="s">
        <v>265</v>
      </c>
      <c r="F117" s="2" t="e">
        <v>#N/A</v>
      </c>
      <c r="G117" s="2">
        <v>2</v>
      </c>
      <c r="H117" s="2">
        <v>3</v>
      </c>
      <c r="I117" s="2">
        <v>4</v>
      </c>
      <c r="J117" s="2" t="e">
        <f t="shared" si="4"/>
        <v>#N/A</v>
      </c>
    </row>
    <row r="118" spans="1:10">
      <c r="C118" t="s">
        <v>279</v>
      </c>
      <c r="D118" t="s">
        <v>183</v>
      </c>
      <c r="E118" t="s">
        <v>271</v>
      </c>
      <c r="F118" t="e">
        <v>#N/A</v>
      </c>
      <c r="G118">
        <v>2</v>
      </c>
      <c r="H118">
        <v>3</v>
      </c>
      <c r="I118">
        <v>4</v>
      </c>
      <c r="J118" s="2" t="e">
        <f t="shared" si="4"/>
        <v>#N/A</v>
      </c>
    </row>
    <row r="119" spans="1:10">
      <c r="A119" s="2"/>
      <c r="B119" s="2"/>
      <c r="C119" s="2" t="s">
        <v>280</v>
      </c>
      <c r="D119" s="2" t="s">
        <v>183</v>
      </c>
      <c r="E119" s="2" t="s">
        <v>272</v>
      </c>
      <c r="F119" s="2" t="e">
        <v>#N/A</v>
      </c>
      <c r="G119" s="2">
        <v>2</v>
      </c>
      <c r="H119" s="2">
        <v>3</v>
      </c>
      <c r="I119" s="2">
        <v>4</v>
      </c>
      <c r="J119" s="2" t="e">
        <f t="shared" si="4"/>
        <v>#N/A</v>
      </c>
    </row>
    <row r="120" spans="1:10">
      <c r="C120" t="s">
        <v>281</v>
      </c>
      <c r="D120" t="s">
        <v>183</v>
      </c>
      <c r="E120" t="s">
        <v>273</v>
      </c>
      <c r="F120" t="e">
        <v>#N/A</v>
      </c>
      <c r="G120">
        <v>2</v>
      </c>
      <c r="H120">
        <v>3</v>
      </c>
      <c r="I120">
        <v>4</v>
      </c>
      <c r="J120" s="2" t="e">
        <f t="shared" si="4"/>
        <v>#N/A</v>
      </c>
    </row>
    <row r="121" spans="1:10">
      <c r="A121" s="2"/>
      <c r="B121" s="2"/>
      <c r="C121" s="2" t="s">
        <v>245</v>
      </c>
      <c r="D121" s="2" t="s">
        <v>183</v>
      </c>
      <c r="E121" s="2" t="s">
        <v>274</v>
      </c>
      <c r="F121" s="2" t="e">
        <v>#N/A</v>
      </c>
      <c r="G121" s="2">
        <v>2</v>
      </c>
      <c r="H121" s="2">
        <v>3</v>
      </c>
      <c r="I121" s="2">
        <v>4</v>
      </c>
      <c r="J121" s="2" t="e">
        <f t="shared" si="4"/>
        <v>#N/A</v>
      </c>
    </row>
    <row r="122" spans="1:10">
      <c r="C122" t="s">
        <v>282</v>
      </c>
      <c r="D122" t="s">
        <v>183</v>
      </c>
      <c r="E122" t="s">
        <v>275</v>
      </c>
      <c r="F122" t="e">
        <v>#N/A</v>
      </c>
      <c r="G122">
        <v>2</v>
      </c>
      <c r="H122">
        <v>3</v>
      </c>
      <c r="I122">
        <v>4</v>
      </c>
      <c r="J122" s="2" t="e">
        <f t="shared" si="4"/>
        <v>#N/A</v>
      </c>
    </row>
    <row r="123" spans="1:10">
      <c r="A123" s="2"/>
      <c r="B123" s="2"/>
      <c r="C123" s="2" t="s">
        <v>283</v>
      </c>
      <c r="D123" s="2" t="s">
        <v>183</v>
      </c>
      <c r="E123" s="2" t="s">
        <v>276</v>
      </c>
      <c r="F123" s="2" t="e">
        <v>#N/A</v>
      </c>
      <c r="G123" s="2">
        <v>2</v>
      </c>
      <c r="H123" s="2">
        <v>3</v>
      </c>
      <c r="I123" s="2">
        <v>4</v>
      </c>
      <c r="J123" s="2" t="e">
        <f t="shared" si="4"/>
        <v>#N/A</v>
      </c>
    </row>
    <row r="124" spans="1:10">
      <c r="C124" t="s">
        <v>284</v>
      </c>
      <c r="D124" t="s">
        <v>183</v>
      </c>
      <c r="E124" t="s">
        <v>277</v>
      </c>
      <c r="F124" t="e">
        <v>#N/A</v>
      </c>
      <c r="G124">
        <v>2</v>
      </c>
      <c r="H124">
        <v>3</v>
      </c>
      <c r="I124">
        <v>4</v>
      </c>
      <c r="J124" s="2" t="e">
        <f t="shared" si="4"/>
        <v>#N/A</v>
      </c>
    </row>
    <row r="125" spans="1:10">
      <c r="A125" s="2"/>
      <c r="B125" s="2"/>
      <c r="C125" s="2" t="s">
        <v>285</v>
      </c>
      <c r="D125" s="2" t="s">
        <v>183</v>
      </c>
      <c r="E125" s="2" t="s">
        <v>278</v>
      </c>
      <c r="F125" s="2" t="e">
        <v>#N/A</v>
      </c>
      <c r="G125" s="2">
        <v>2</v>
      </c>
      <c r="H125" s="2">
        <v>3</v>
      </c>
      <c r="I125" s="2">
        <v>4</v>
      </c>
      <c r="J125" s="2" t="e">
        <f t="shared" si="4"/>
        <v>#N/A</v>
      </c>
    </row>
    <row r="126" spans="1:10">
      <c r="C126" t="s">
        <v>294</v>
      </c>
      <c r="D126" t="s">
        <v>183</v>
      </c>
      <c r="E126" t="s">
        <v>286</v>
      </c>
      <c r="F126" t="e">
        <v>#N/A</v>
      </c>
      <c r="G126">
        <v>2</v>
      </c>
      <c r="H126">
        <v>3</v>
      </c>
      <c r="I126">
        <v>4</v>
      </c>
      <c r="J126" s="2" t="e">
        <f t="shared" si="4"/>
        <v>#N/A</v>
      </c>
    </row>
    <row r="127" spans="1:10">
      <c r="A127" s="2"/>
      <c r="B127" s="2"/>
      <c r="C127" s="2" t="s">
        <v>295</v>
      </c>
      <c r="D127" s="2" t="s">
        <v>183</v>
      </c>
      <c r="E127" s="2" t="s">
        <v>287</v>
      </c>
      <c r="F127" s="2" t="e">
        <v>#N/A</v>
      </c>
      <c r="G127" s="2">
        <v>2</v>
      </c>
      <c r="H127" s="2">
        <v>3</v>
      </c>
      <c r="I127" s="2">
        <v>4</v>
      </c>
      <c r="J127" s="2" t="e">
        <f t="shared" si="4"/>
        <v>#N/A</v>
      </c>
    </row>
    <row r="128" spans="1:10">
      <c r="C128" t="s">
        <v>296</v>
      </c>
      <c r="D128" t="s">
        <v>183</v>
      </c>
      <c r="E128" t="s">
        <v>288</v>
      </c>
      <c r="F128" t="e">
        <v>#N/A</v>
      </c>
      <c r="G128">
        <v>2</v>
      </c>
      <c r="H128">
        <v>3</v>
      </c>
      <c r="I128">
        <v>4</v>
      </c>
      <c r="J128" s="2" t="e">
        <f t="shared" si="4"/>
        <v>#N/A</v>
      </c>
    </row>
    <row r="129" spans="1:10">
      <c r="A129" s="2"/>
      <c r="B129" s="2"/>
      <c r="C129" s="2" t="s">
        <v>297</v>
      </c>
      <c r="D129" s="2" t="s">
        <v>183</v>
      </c>
      <c r="E129" s="2" t="s">
        <v>289</v>
      </c>
      <c r="F129" s="2" t="e">
        <v>#N/A</v>
      </c>
      <c r="G129" s="2">
        <v>2</v>
      </c>
      <c r="H129" s="2">
        <v>3</v>
      </c>
      <c r="I129" s="2">
        <v>4</v>
      </c>
      <c r="J129" s="2" t="e">
        <f t="shared" si="4"/>
        <v>#N/A</v>
      </c>
    </row>
    <row r="130" spans="1:10">
      <c r="C130" t="s">
        <v>298</v>
      </c>
      <c r="D130" t="s">
        <v>183</v>
      </c>
      <c r="E130" t="s">
        <v>290</v>
      </c>
      <c r="F130" t="e">
        <v>#N/A</v>
      </c>
      <c r="G130">
        <v>2</v>
      </c>
      <c r="H130">
        <v>3</v>
      </c>
      <c r="I130">
        <v>4</v>
      </c>
      <c r="J130" s="2" t="e">
        <f t="shared" si="4"/>
        <v>#N/A</v>
      </c>
    </row>
    <row r="131" spans="1:10">
      <c r="A131" s="2"/>
      <c r="B131" s="2"/>
      <c r="C131" s="2" t="s">
        <v>299</v>
      </c>
      <c r="D131" s="2" t="s">
        <v>183</v>
      </c>
      <c r="E131" s="2" t="s">
        <v>291</v>
      </c>
      <c r="F131" s="2" t="e">
        <v>#N/A</v>
      </c>
      <c r="G131" s="2">
        <v>2</v>
      </c>
      <c r="H131" s="2">
        <v>3</v>
      </c>
      <c r="I131" s="2">
        <v>4</v>
      </c>
      <c r="J131" s="2" t="e">
        <f t="shared" si="4"/>
        <v>#N/A</v>
      </c>
    </row>
    <row r="132" spans="1:10">
      <c r="C132" t="s">
        <v>300</v>
      </c>
      <c r="D132" t="s">
        <v>183</v>
      </c>
      <c r="E132" t="s">
        <v>292</v>
      </c>
      <c r="F132" t="e">
        <v>#N/A</v>
      </c>
      <c r="G132">
        <v>2</v>
      </c>
      <c r="H132">
        <v>3</v>
      </c>
      <c r="I132">
        <v>4</v>
      </c>
      <c r="J132" s="2" t="e">
        <f t="shared" si="4"/>
        <v>#N/A</v>
      </c>
    </row>
    <row r="133" spans="1:10">
      <c r="A133" s="2"/>
      <c r="B133" s="2"/>
      <c r="C133" s="2" t="s">
        <v>301</v>
      </c>
      <c r="D133" s="2" t="s">
        <v>183</v>
      </c>
      <c r="E133" s="2" t="s">
        <v>293</v>
      </c>
      <c r="F133" s="2" t="e">
        <v>#N/A</v>
      </c>
      <c r="G133" s="2">
        <v>2</v>
      </c>
      <c r="H133" s="2">
        <v>3</v>
      </c>
      <c r="I133" s="2">
        <v>4</v>
      </c>
      <c r="J133" s="2" t="e">
        <f t="shared" si="4"/>
        <v>#N/A</v>
      </c>
    </row>
    <row r="134" spans="1:10">
      <c r="C134" t="s">
        <v>315</v>
      </c>
      <c r="D134" t="s">
        <v>183</v>
      </c>
      <c r="E134" t="s">
        <v>302</v>
      </c>
      <c r="F134" t="e">
        <v>#N/A</v>
      </c>
      <c r="G134">
        <v>2</v>
      </c>
      <c r="H134">
        <v>3</v>
      </c>
      <c r="I134">
        <v>4</v>
      </c>
      <c r="J134" s="2" t="e">
        <f t="shared" si="4"/>
        <v>#N/A</v>
      </c>
    </row>
    <row r="135" spans="1:10">
      <c r="A135" s="2"/>
      <c r="B135" s="2"/>
      <c r="C135" s="2" t="s">
        <v>309</v>
      </c>
      <c r="D135" s="2" t="s">
        <v>183</v>
      </c>
      <c r="E135" s="2" t="s">
        <v>303</v>
      </c>
      <c r="F135" s="2" t="e">
        <v>#N/A</v>
      </c>
      <c r="G135" s="2">
        <v>2</v>
      </c>
      <c r="H135" s="2">
        <v>3</v>
      </c>
      <c r="I135" s="2">
        <v>4</v>
      </c>
      <c r="J135" s="2" t="e">
        <f t="shared" si="4"/>
        <v>#N/A</v>
      </c>
    </row>
    <row r="136" spans="1:10">
      <c r="C136" t="s">
        <v>310</v>
      </c>
      <c r="D136" t="s">
        <v>183</v>
      </c>
      <c r="E136" t="s">
        <v>304</v>
      </c>
      <c r="F136" t="e">
        <v>#N/A</v>
      </c>
      <c r="G136">
        <v>2</v>
      </c>
      <c r="H136">
        <v>3</v>
      </c>
      <c r="I136">
        <v>4</v>
      </c>
      <c r="J136" s="2" t="e">
        <f t="shared" si="4"/>
        <v>#N/A</v>
      </c>
    </row>
    <row r="137" spans="1:10">
      <c r="A137" s="2"/>
      <c r="B137" s="2"/>
      <c r="C137" s="2" t="s">
        <v>311</v>
      </c>
      <c r="D137" s="2" t="s">
        <v>183</v>
      </c>
      <c r="E137" s="2" t="s">
        <v>305</v>
      </c>
      <c r="F137" s="2" t="e">
        <v>#N/A</v>
      </c>
      <c r="G137" s="2">
        <v>2</v>
      </c>
      <c r="H137" s="2">
        <v>3</v>
      </c>
      <c r="I137" s="2">
        <v>4</v>
      </c>
      <c r="J137" s="2" t="e">
        <f t="shared" si="4"/>
        <v>#N/A</v>
      </c>
    </row>
    <row r="138" spans="1:10">
      <c r="C138" t="s">
        <v>312</v>
      </c>
      <c r="D138" t="s">
        <v>183</v>
      </c>
      <c r="E138" t="s">
        <v>306</v>
      </c>
      <c r="F138" t="e">
        <v>#N/A</v>
      </c>
      <c r="G138">
        <v>2</v>
      </c>
      <c r="H138">
        <v>3</v>
      </c>
      <c r="I138">
        <v>4</v>
      </c>
      <c r="J138" s="2" t="e">
        <f t="shared" si="4"/>
        <v>#N/A</v>
      </c>
    </row>
    <row r="139" spans="1:10">
      <c r="A139" s="2"/>
      <c r="B139" s="2"/>
      <c r="C139" s="2" t="s">
        <v>313</v>
      </c>
      <c r="D139" s="2" t="s">
        <v>183</v>
      </c>
      <c r="E139" s="2" t="s">
        <v>307</v>
      </c>
      <c r="F139" s="2" t="e">
        <v>#N/A</v>
      </c>
      <c r="G139" s="2">
        <v>2</v>
      </c>
      <c r="H139" s="2">
        <v>3</v>
      </c>
      <c r="I139" s="2">
        <v>4</v>
      </c>
      <c r="J139" s="2" t="e">
        <f t="shared" si="4"/>
        <v>#N/A</v>
      </c>
    </row>
    <row r="140" spans="1:10">
      <c r="C140" t="s">
        <v>314</v>
      </c>
      <c r="D140" t="s">
        <v>183</v>
      </c>
      <c r="E140" t="s">
        <v>308</v>
      </c>
      <c r="F140" t="e">
        <v>#N/A</v>
      </c>
      <c r="G140">
        <v>2</v>
      </c>
      <c r="H140">
        <v>3</v>
      </c>
      <c r="I140">
        <v>4</v>
      </c>
      <c r="J140" s="2" t="e">
        <f t="shared" si="4"/>
        <v>#N/A</v>
      </c>
    </row>
    <row r="141" spans="1:10">
      <c r="A141" s="2"/>
      <c r="B141" s="2"/>
      <c r="C141" s="2" t="s">
        <v>321</v>
      </c>
      <c r="D141" s="2" t="s">
        <v>183</v>
      </c>
      <c r="E141" s="2" t="s">
        <v>316</v>
      </c>
      <c r="F141" s="2" t="e">
        <v>#N/A</v>
      </c>
      <c r="G141" s="2">
        <v>2</v>
      </c>
      <c r="H141" s="2">
        <v>3</v>
      </c>
      <c r="I141" s="2">
        <v>4</v>
      </c>
      <c r="J141" s="2" t="e">
        <f t="shared" si="4"/>
        <v>#N/A</v>
      </c>
    </row>
    <row r="142" spans="1:10">
      <c r="C142" t="s">
        <v>322</v>
      </c>
      <c r="D142" t="s">
        <v>183</v>
      </c>
      <c r="E142" t="s">
        <v>317</v>
      </c>
      <c r="F142" t="e">
        <v>#N/A</v>
      </c>
      <c r="G142">
        <v>2</v>
      </c>
      <c r="H142">
        <v>3</v>
      </c>
      <c r="I142">
        <v>4</v>
      </c>
      <c r="J142" s="2" t="e">
        <f t="shared" si="4"/>
        <v>#N/A</v>
      </c>
    </row>
    <row r="143" spans="1:10">
      <c r="A143" s="2"/>
      <c r="B143" s="2"/>
      <c r="C143" s="2" t="s">
        <v>323</v>
      </c>
      <c r="D143" s="2" t="s">
        <v>183</v>
      </c>
      <c r="E143" s="2" t="s">
        <v>318</v>
      </c>
      <c r="F143" s="2" t="e">
        <v>#N/A</v>
      </c>
      <c r="G143" s="2">
        <v>2</v>
      </c>
      <c r="H143" s="2">
        <v>3</v>
      </c>
      <c r="I143" s="2">
        <v>4</v>
      </c>
      <c r="J143" s="2" t="e">
        <f t="shared" si="4"/>
        <v>#N/A</v>
      </c>
    </row>
    <row r="144" spans="1:10">
      <c r="C144" t="s">
        <v>324</v>
      </c>
      <c r="D144" t="s">
        <v>183</v>
      </c>
      <c r="E144" t="s">
        <v>319</v>
      </c>
      <c r="F144" t="e">
        <v>#N/A</v>
      </c>
      <c r="G144">
        <v>2</v>
      </c>
      <c r="H144">
        <v>3</v>
      </c>
      <c r="I144">
        <v>4</v>
      </c>
      <c r="J144" s="2" t="e">
        <f t="shared" si="4"/>
        <v>#N/A</v>
      </c>
    </row>
    <row r="145" spans="1:11">
      <c r="A145" s="2"/>
      <c r="B145" s="2"/>
      <c r="C145" s="2" t="s">
        <v>325</v>
      </c>
      <c r="D145" s="2" t="s">
        <v>183</v>
      </c>
      <c r="E145" s="2" t="s">
        <v>320</v>
      </c>
      <c r="F145" s="2" t="e">
        <v>#N/A</v>
      </c>
      <c r="G145" s="2">
        <v>2</v>
      </c>
      <c r="H145" s="2">
        <v>3</v>
      </c>
      <c r="I145" s="2">
        <v>4</v>
      </c>
      <c r="J145" s="2" t="e">
        <f t="shared" si="4"/>
        <v>#N/A</v>
      </c>
    </row>
    <row r="146" spans="1:11">
      <c r="C146" t="s">
        <v>373</v>
      </c>
      <c r="D146" t="s">
        <v>183</v>
      </c>
      <c r="E146" t="s">
        <v>367</v>
      </c>
      <c r="F146" t="e">
        <v>#N/A</v>
      </c>
      <c r="G146">
        <v>2</v>
      </c>
      <c r="H146">
        <v>3</v>
      </c>
      <c r="I146">
        <v>4</v>
      </c>
      <c r="J146" s="2" t="e">
        <f t="shared" si="4"/>
        <v>#N/A</v>
      </c>
      <c r="K146" s="38" t="s">
        <v>326</v>
      </c>
    </row>
    <row r="147" spans="1:11">
      <c r="A147" s="2"/>
      <c r="B147" s="2"/>
      <c r="C147" s="2" t="s">
        <v>374</v>
      </c>
      <c r="D147" s="2" t="s">
        <v>183</v>
      </c>
      <c r="E147" s="2" t="s">
        <v>368</v>
      </c>
      <c r="F147" s="2" t="e">
        <v>#N/A</v>
      </c>
      <c r="G147" s="2">
        <v>2</v>
      </c>
      <c r="H147" s="2">
        <v>3</v>
      </c>
      <c r="I147" s="2">
        <v>4</v>
      </c>
      <c r="J147" s="2" t="e">
        <f t="shared" si="4"/>
        <v>#N/A</v>
      </c>
      <c r="K147" t="s">
        <v>327</v>
      </c>
    </row>
    <row r="148" spans="1:11">
      <c r="D148" t="s">
        <v>183</v>
      </c>
      <c r="E148" t="s">
        <v>369</v>
      </c>
      <c r="F148" t="e">
        <v>#N/A</v>
      </c>
      <c r="G148">
        <v>2</v>
      </c>
      <c r="H148">
        <v>3</v>
      </c>
      <c r="I148">
        <v>4</v>
      </c>
      <c r="J148" s="2" t="e">
        <f t="shared" si="4"/>
        <v>#N/A</v>
      </c>
      <c r="K148" t="s">
        <v>328</v>
      </c>
    </row>
    <row r="149" spans="1:11">
      <c r="A149" s="2"/>
      <c r="B149" s="2"/>
      <c r="C149" s="2" t="s">
        <v>375</v>
      </c>
      <c r="D149" s="2" t="s">
        <v>183</v>
      </c>
      <c r="E149" s="2" t="s">
        <v>372</v>
      </c>
      <c r="F149" s="2" t="e">
        <v>#N/A</v>
      </c>
      <c r="G149" s="2">
        <v>2</v>
      </c>
      <c r="H149" s="2">
        <v>3</v>
      </c>
      <c r="I149" s="2">
        <v>4</v>
      </c>
      <c r="J149" s="2" t="e">
        <f t="shared" si="4"/>
        <v>#N/A</v>
      </c>
      <c r="K149" t="s">
        <v>329</v>
      </c>
    </row>
    <row r="150" spans="1:11">
      <c r="C150" t="s">
        <v>376</v>
      </c>
      <c r="D150" t="s">
        <v>183</v>
      </c>
      <c r="E150" t="s">
        <v>370</v>
      </c>
      <c r="F150" t="e">
        <v>#N/A</v>
      </c>
      <c r="G150">
        <v>2</v>
      </c>
      <c r="H150">
        <v>3</v>
      </c>
      <c r="I150">
        <v>4</v>
      </c>
      <c r="J150" s="2" t="e">
        <f t="shared" si="4"/>
        <v>#N/A</v>
      </c>
      <c r="K150" t="s">
        <v>330</v>
      </c>
    </row>
    <row r="151" spans="1:11">
      <c r="A151" s="2"/>
      <c r="B151" s="2"/>
      <c r="C151" s="2" t="s">
        <v>377</v>
      </c>
      <c r="D151" s="2" t="s">
        <v>183</v>
      </c>
      <c r="E151" s="2" t="s">
        <v>371</v>
      </c>
      <c r="F151" s="2" t="e">
        <v>#N/A</v>
      </c>
      <c r="G151" s="2">
        <v>2</v>
      </c>
      <c r="H151" s="2">
        <v>3</v>
      </c>
      <c r="I151" s="2">
        <v>4</v>
      </c>
      <c r="J151" s="2" t="e">
        <f t="shared" si="4"/>
        <v>#N/A</v>
      </c>
      <c r="K151" t="s">
        <v>331</v>
      </c>
    </row>
    <row r="152" spans="1:11">
      <c r="D152" t="s">
        <v>183</v>
      </c>
      <c r="E152" t="s">
        <v>229</v>
      </c>
      <c r="F152" t="e">
        <v>#N/A</v>
      </c>
      <c r="G152">
        <v>2</v>
      </c>
      <c r="H152">
        <v>3</v>
      </c>
      <c r="I152">
        <v>4</v>
      </c>
      <c r="J152" s="2" t="e">
        <f t="shared" si="4"/>
        <v>#N/A</v>
      </c>
    </row>
    <row r="153" spans="1:11">
      <c r="A153" s="2"/>
      <c r="B153" s="2"/>
      <c r="C153" s="2"/>
      <c r="D153" s="2" t="s">
        <v>183</v>
      </c>
      <c r="E153" s="2" t="s">
        <v>230</v>
      </c>
      <c r="F153" s="2" t="e">
        <v>#N/A</v>
      </c>
      <c r="G153" s="2">
        <v>2</v>
      </c>
      <c r="H153" s="2">
        <v>3</v>
      </c>
      <c r="I153" s="2">
        <v>4</v>
      </c>
      <c r="J153" s="2" t="e">
        <f t="shared" si="4"/>
        <v>#N/A</v>
      </c>
    </row>
    <row r="154" spans="1:11">
      <c r="D154" t="s">
        <v>183</v>
      </c>
      <c r="E154" t="s">
        <v>332</v>
      </c>
      <c r="F154" t="e">
        <v>#N/A</v>
      </c>
      <c r="G154">
        <v>2</v>
      </c>
      <c r="H154">
        <v>3</v>
      </c>
      <c r="I154">
        <v>4</v>
      </c>
      <c r="J154" s="2" t="e">
        <f t="shared" ref="J154:J188" si="5">IF(F154=3,3,IF(F154=4,2,IF(F154&lt;=2,4,IF(F154&gt;=5,1))))</f>
        <v>#N/A</v>
      </c>
    </row>
    <row r="155" spans="1:11">
      <c r="A155" s="2"/>
      <c r="B155" s="2"/>
      <c r="C155" s="2"/>
      <c r="D155" s="2" t="s">
        <v>183</v>
      </c>
      <c r="E155" s="2" t="s">
        <v>333</v>
      </c>
      <c r="F155" s="2" t="e">
        <v>#N/A</v>
      </c>
      <c r="G155" s="2">
        <v>2</v>
      </c>
      <c r="H155" s="2">
        <v>3</v>
      </c>
      <c r="I155" s="2">
        <v>4</v>
      </c>
      <c r="J155" s="2" t="e">
        <f t="shared" si="5"/>
        <v>#N/A</v>
      </c>
    </row>
    <row r="156" spans="1:11">
      <c r="D156" t="s">
        <v>183</v>
      </c>
      <c r="E156" t="s">
        <v>334</v>
      </c>
      <c r="F156" t="e">
        <v>#N/A</v>
      </c>
      <c r="G156">
        <v>2</v>
      </c>
      <c r="H156">
        <v>3</v>
      </c>
      <c r="I156">
        <v>4</v>
      </c>
      <c r="J156" s="2" t="e">
        <f t="shared" si="5"/>
        <v>#N/A</v>
      </c>
    </row>
    <row r="157" spans="1:11">
      <c r="A157" s="2"/>
      <c r="B157" s="2"/>
      <c r="C157" s="2"/>
      <c r="D157" s="2" t="s">
        <v>183</v>
      </c>
      <c r="E157" s="2" t="s">
        <v>335</v>
      </c>
      <c r="F157" s="2" t="e">
        <v>#N/A</v>
      </c>
      <c r="G157" s="2">
        <v>2</v>
      </c>
      <c r="H157" s="2">
        <v>3</v>
      </c>
      <c r="I157" s="2">
        <v>4</v>
      </c>
      <c r="J157" s="2" t="e">
        <f t="shared" si="5"/>
        <v>#N/A</v>
      </c>
    </row>
    <row r="158" spans="1:11">
      <c r="D158" t="s">
        <v>183</v>
      </c>
      <c r="E158" t="s">
        <v>336</v>
      </c>
      <c r="F158" t="e">
        <v>#N/A</v>
      </c>
      <c r="G158">
        <v>2</v>
      </c>
      <c r="H158">
        <v>3</v>
      </c>
      <c r="I158">
        <v>4</v>
      </c>
      <c r="J158" s="2" t="e">
        <f t="shared" si="5"/>
        <v>#N/A</v>
      </c>
    </row>
    <row r="159" spans="1:11">
      <c r="A159" s="2"/>
      <c r="B159" s="2"/>
      <c r="C159" s="2"/>
      <c r="D159" s="2" t="s">
        <v>183</v>
      </c>
      <c r="E159" s="2" t="s">
        <v>337</v>
      </c>
      <c r="F159" s="2" t="e">
        <v>#N/A</v>
      </c>
      <c r="G159" s="2">
        <v>2</v>
      </c>
      <c r="H159" s="2">
        <v>3</v>
      </c>
      <c r="I159" s="2">
        <v>4</v>
      </c>
      <c r="J159" s="2" t="e">
        <f t="shared" si="5"/>
        <v>#N/A</v>
      </c>
    </row>
    <row r="160" spans="1:11">
      <c r="D160" t="s">
        <v>183</v>
      </c>
      <c r="E160" t="s">
        <v>338</v>
      </c>
      <c r="F160" t="e">
        <v>#N/A</v>
      </c>
      <c r="G160">
        <v>2</v>
      </c>
      <c r="H160">
        <v>3</v>
      </c>
      <c r="I160">
        <v>4</v>
      </c>
      <c r="J160" s="2" t="e">
        <f t="shared" si="5"/>
        <v>#N/A</v>
      </c>
    </row>
    <row r="161" spans="1:10">
      <c r="A161" s="2"/>
      <c r="B161" s="2"/>
      <c r="C161" s="2"/>
      <c r="D161" s="2" t="s">
        <v>183</v>
      </c>
      <c r="E161" s="2" t="s">
        <v>339</v>
      </c>
      <c r="F161" s="2" t="e">
        <v>#N/A</v>
      </c>
      <c r="G161" s="2">
        <v>2</v>
      </c>
      <c r="H161" s="2">
        <v>3</v>
      </c>
      <c r="I161" s="2">
        <v>4</v>
      </c>
      <c r="J161" s="2" t="e">
        <f t="shared" si="5"/>
        <v>#N/A</v>
      </c>
    </row>
    <row r="162" spans="1:10">
      <c r="D162" t="s">
        <v>183</v>
      </c>
      <c r="E162" t="s">
        <v>340</v>
      </c>
      <c r="F162" t="e">
        <v>#N/A</v>
      </c>
      <c r="G162">
        <v>2</v>
      </c>
      <c r="H162">
        <v>3</v>
      </c>
      <c r="I162">
        <v>4</v>
      </c>
      <c r="J162" s="2" t="e">
        <f t="shared" si="5"/>
        <v>#N/A</v>
      </c>
    </row>
    <row r="163" spans="1:10">
      <c r="A163" s="2"/>
      <c r="B163" s="2"/>
      <c r="C163" s="2"/>
      <c r="D163" s="2" t="s">
        <v>183</v>
      </c>
      <c r="E163" s="2" t="s">
        <v>341</v>
      </c>
      <c r="F163" s="2" t="e">
        <v>#N/A</v>
      </c>
      <c r="G163" s="2">
        <v>2</v>
      </c>
      <c r="H163" s="2">
        <v>3</v>
      </c>
      <c r="I163" s="2">
        <v>4</v>
      </c>
      <c r="J163" s="2" t="e">
        <f t="shared" si="5"/>
        <v>#N/A</v>
      </c>
    </row>
    <row r="164" spans="1:10">
      <c r="D164" t="s">
        <v>183</v>
      </c>
      <c r="E164" t="s">
        <v>342</v>
      </c>
      <c r="F164" t="e">
        <v>#N/A</v>
      </c>
      <c r="G164">
        <v>2</v>
      </c>
      <c r="H164">
        <v>3</v>
      </c>
      <c r="I164">
        <v>4</v>
      </c>
      <c r="J164" s="2" t="e">
        <f t="shared" si="5"/>
        <v>#N/A</v>
      </c>
    </row>
    <row r="165" spans="1:10">
      <c r="A165" s="2"/>
      <c r="B165" s="2"/>
      <c r="C165" s="2"/>
      <c r="D165" s="2" t="s">
        <v>183</v>
      </c>
      <c r="E165" s="2" t="s">
        <v>343</v>
      </c>
      <c r="F165" s="2" t="e">
        <v>#N/A</v>
      </c>
      <c r="G165" s="2">
        <v>2</v>
      </c>
      <c r="H165" s="2">
        <v>3</v>
      </c>
      <c r="I165" s="2">
        <v>4</v>
      </c>
      <c r="J165" s="2" t="e">
        <f t="shared" si="5"/>
        <v>#N/A</v>
      </c>
    </row>
    <row r="166" spans="1:10">
      <c r="D166" t="s">
        <v>183</v>
      </c>
      <c r="E166" t="s">
        <v>344</v>
      </c>
      <c r="F166" t="e">
        <v>#N/A</v>
      </c>
      <c r="G166">
        <v>2</v>
      </c>
      <c r="H166">
        <v>3</v>
      </c>
      <c r="I166">
        <v>4</v>
      </c>
      <c r="J166" s="2" t="e">
        <f t="shared" si="5"/>
        <v>#N/A</v>
      </c>
    </row>
    <row r="167" spans="1:10">
      <c r="A167" s="2"/>
      <c r="B167" s="2"/>
      <c r="C167" s="2"/>
      <c r="D167" s="2" t="s">
        <v>183</v>
      </c>
      <c r="E167" s="2" t="s">
        <v>345</v>
      </c>
      <c r="F167" s="2" t="e">
        <v>#N/A</v>
      </c>
      <c r="G167" s="2">
        <v>2</v>
      </c>
      <c r="H167" s="2">
        <v>3</v>
      </c>
      <c r="I167" s="2">
        <v>4</v>
      </c>
      <c r="J167" s="2" t="e">
        <f t="shared" si="5"/>
        <v>#N/A</v>
      </c>
    </row>
    <row r="168" spans="1:10">
      <c r="D168" t="s">
        <v>183</v>
      </c>
      <c r="E168" t="s">
        <v>346</v>
      </c>
      <c r="F168" t="e">
        <v>#N/A</v>
      </c>
      <c r="G168">
        <v>2</v>
      </c>
      <c r="H168">
        <v>3</v>
      </c>
      <c r="I168">
        <v>4</v>
      </c>
      <c r="J168" s="2" t="e">
        <f t="shared" si="5"/>
        <v>#N/A</v>
      </c>
    </row>
    <row r="169" spans="1:10">
      <c r="A169" s="2"/>
      <c r="B169" s="2"/>
      <c r="C169" s="2"/>
      <c r="D169" s="2" t="s">
        <v>183</v>
      </c>
      <c r="E169" s="2" t="s">
        <v>347</v>
      </c>
      <c r="F169" s="2" t="e">
        <v>#N/A</v>
      </c>
      <c r="G169" s="2">
        <v>2</v>
      </c>
      <c r="H169" s="2">
        <v>3</v>
      </c>
      <c r="I169" s="2">
        <v>4</v>
      </c>
      <c r="J169" s="2" t="e">
        <f t="shared" si="5"/>
        <v>#N/A</v>
      </c>
    </row>
    <row r="170" spans="1:10">
      <c r="D170" t="s">
        <v>183</v>
      </c>
      <c r="E170" t="s">
        <v>348</v>
      </c>
      <c r="F170" t="e">
        <v>#N/A</v>
      </c>
      <c r="G170">
        <v>2</v>
      </c>
      <c r="H170">
        <v>3</v>
      </c>
      <c r="I170">
        <v>4</v>
      </c>
      <c r="J170" s="2" t="e">
        <f t="shared" si="5"/>
        <v>#N/A</v>
      </c>
    </row>
    <row r="171" spans="1:10">
      <c r="A171" s="2"/>
      <c r="B171" s="2"/>
      <c r="C171" s="2"/>
      <c r="D171" s="2" t="s">
        <v>183</v>
      </c>
      <c r="E171" s="2" t="s">
        <v>349</v>
      </c>
      <c r="F171" s="2" t="e">
        <v>#N/A</v>
      </c>
      <c r="G171" s="2">
        <v>2</v>
      </c>
      <c r="H171" s="2">
        <v>3</v>
      </c>
      <c r="I171" s="2">
        <v>4</v>
      </c>
      <c r="J171" s="2" t="e">
        <f t="shared" si="5"/>
        <v>#N/A</v>
      </c>
    </row>
    <row r="172" spans="1:10">
      <c r="D172" t="s">
        <v>183</v>
      </c>
      <c r="E172" t="s">
        <v>350</v>
      </c>
      <c r="F172" t="e">
        <v>#N/A</v>
      </c>
      <c r="G172">
        <v>2</v>
      </c>
      <c r="H172">
        <v>3</v>
      </c>
      <c r="I172">
        <v>4</v>
      </c>
      <c r="J172" s="2" t="e">
        <f t="shared" si="5"/>
        <v>#N/A</v>
      </c>
    </row>
    <row r="173" spans="1:10">
      <c r="A173" s="2"/>
      <c r="B173" s="2"/>
      <c r="C173" s="2"/>
      <c r="D173" s="2" t="s">
        <v>183</v>
      </c>
      <c r="E173" s="2" t="s">
        <v>351</v>
      </c>
      <c r="F173" s="2" t="e">
        <v>#N/A</v>
      </c>
      <c r="G173" s="2">
        <v>2</v>
      </c>
      <c r="H173" s="2">
        <v>3</v>
      </c>
      <c r="I173" s="2">
        <v>4</v>
      </c>
      <c r="J173" s="2" t="e">
        <f t="shared" si="5"/>
        <v>#N/A</v>
      </c>
    </row>
    <row r="174" spans="1:10">
      <c r="D174" t="s">
        <v>183</v>
      </c>
      <c r="E174" t="s">
        <v>352</v>
      </c>
      <c r="F174" t="e">
        <v>#N/A</v>
      </c>
      <c r="G174">
        <v>2</v>
      </c>
      <c r="H174">
        <v>3</v>
      </c>
      <c r="I174">
        <v>4</v>
      </c>
      <c r="J174" s="2" t="e">
        <f t="shared" si="5"/>
        <v>#N/A</v>
      </c>
    </row>
    <row r="175" spans="1:10">
      <c r="A175" s="2"/>
      <c r="B175" s="2"/>
      <c r="C175" s="2"/>
      <c r="D175" s="2" t="s">
        <v>183</v>
      </c>
      <c r="E175" s="2" t="s">
        <v>353</v>
      </c>
      <c r="F175" s="2" t="e">
        <v>#N/A</v>
      </c>
      <c r="G175" s="2">
        <v>2</v>
      </c>
      <c r="H175" s="2">
        <v>3</v>
      </c>
      <c r="I175" s="2">
        <v>4</v>
      </c>
      <c r="J175" s="2" t="e">
        <f t="shared" si="5"/>
        <v>#N/A</v>
      </c>
    </row>
    <row r="176" spans="1:10">
      <c r="D176" t="s">
        <v>183</v>
      </c>
      <c r="E176" t="s">
        <v>354</v>
      </c>
      <c r="F176" t="e">
        <v>#N/A</v>
      </c>
      <c r="G176">
        <v>2</v>
      </c>
      <c r="H176">
        <v>3</v>
      </c>
      <c r="I176">
        <v>4</v>
      </c>
      <c r="J176" s="2" t="e">
        <f t="shared" si="5"/>
        <v>#N/A</v>
      </c>
    </row>
    <row r="177" spans="1:10">
      <c r="A177" s="2"/>
      <c r="B177" s="2"/>
      <c r="C177" s="2"/>
      <c r="D177" s="2" t="s">
        <v>183</v>
      </c>
      <c r="E177" s="2" t="s">
        <v>355</v>
      </c>
      <c r="F177" s="2" t="e">
        <v>#N/A</v>
      </c>
      <c r="G177" s="2">
        <v>2</v>
      </c>
      <c r="H177" s="2">
        <v>3</v>
      </c>
      <c r="I177" s="2">
        <v>4</v>
      </c>
      <c r="J177" s="2" t="e">
        <f t="shared" si="5"/>
        <v>#N/A</v>
      </c>
    </row>
    <row r="178" spans="1:10">
      <c r="D178" t="s">
        <v>183</v>
      </c>
      <c r="E178" t="s">
        <v>356</v>
      </c>
      <c r="F178" t="e">
        <v>#N/A</v>
      </c>
      <c r="G178">
        <v>2</v>
      </c>
      <c r="H178">
        <v>3</v>
      </c>
      <c r="I178">
        <v>4</v>
      </c>
      <c r="J178" s="2" t="e">
        <f t="shared" si="5"/>
        <v>#N/A</v>
      </c>
    </row>
    <row r="179" spans="1:10">
      <c r="A179" s="2"/>
      <c r="B179" s="2"/>
      <c r="C179" s="2"/>
      <c r="D179" s="2" t="s">
        <v>183</v>
      </c>
      <c r="E179" s="2" t="s">
        <v>357</v>
      </c>
      <c r="F179" s="2" t="e">
        <v>#N/A</v>
      </c>
      <c r="G179" s="2">
        <v>2</v>
      </c>
      <c r="H179" s="2">
        <v>3</v>
      </c>
      <c r="I179" s="2">
        <v>4</v>
      </c>
      <c r="J179" s="2" t="e">
        <f t="shared" si="5"/>
        <v>#N/A</v>
      </c>
    </row>
    <row r="180" spans="1:10">
      <c r="D180" t="s">
        <v>183</v>
      </c>
      <c r="E180" t="s">
        <v>358</v>
      </c>
      <c r="F180" t="e">
        <v>#N/A</v>
      </c>
      <c r="G180">
        <v>2</v>
      </c>
      <c r="H180">
        <v>3</v>
      </c>
      <c r="I180">
        <v>4</v>
      </c>
      <c r="J180" s="2" t="e">
        <f t="shared" si="5"/>
        <v>#N/A</v>
      </c>
    </row>
    <row r="181" spans="1:10">
      <c r="A181" s="2"/>
      <c r="B181" s="2"/>
      <c r="C181" s="2"/>
      <c r="D181" s="2" t="s">
        <v>183</v>
      </c>
      <c r="E181" s="2" t="s">
        <v>359</v>
      </c>
      <c r="F181" s="2" t="e">
        <v>#N/A</v>
      </c>
      <c r="G181" s="2">
        <v>2</v>
      </c>
      <c r="H181" s="2">
        <v>3</v>
      </c>
      <c r="I181" s="2">
        <v>4</v>
      </c>
      <c r="J181" s="2" t="e">
        <f t="shared" si="5"/>
        <v>#N/A</v>
      </c>
    </row>
    <row r="182" spans="1:10">
      <c r="D182" t="s">
        <v>183</v>
      </c>
      <c r="E182" t="s">
        <v>360</v>
      </c>
      <c r="F182" t="e">
        <v>#N/A</v>
      </c>
      <c r="G182">
        <v>2</v>
      </c>
      <c r="H182">
        <v>3</v>
      </c>
      <c r="I182">
        <v>4</v>
      </c>
      <c r="J182" s="2" t="e">
        <f t="shared" si="5"/>
        <v>#N/A</v>
      </c>
    </row>
    <row r="183" spans="1:10">
      <c r="A183" s="2"/>
      <c r="B183" s="2"/>
      <c r="C183" s="2"/>
      <c r="D183" s="2" t="s">
        <v>183</v>
      </c>
      <c r="E183" s="2" t="s">
        <v>361</v>
      </c>
      <c r="F183" s="2" t="e">
        <v>#N/A</v>
      </c>
      <c r="G183" s="2">
        <v>2</v>
      </c>
      <c r="H183" s="2">
        <v>3</v>
      </c>
      <c r="I183" s="2">
        <v>4</v>
      </c>
      <c r="J183" s="2" t="e">
        <f t="shared" si="5"/>
        <v>#N/A</v>
      </c>
    </row>
    <row r="184" spans="1:10">
      <c r="D184" t="s">
        <v>183</v>
      </c>
      <c r="E184" t="s">
        <v>362</v>
      </c>
      <c r="F184" t="e">
        <v>#N/A</v>
      </c>
      <c r="G184">
        <v>2</v>
      </c>
      <c r="H184">
        <v>3</v>
      </c>
      <c r="I184">
        <v>4</v>
      </c>
      <c r="J184" s="2" t="e">
        <f t="shared" si="5"/>
        <v>#N/A</v>
      </c>
    </row>
    <row r="185" spans="1:10">
      <c r="A185" s="2"/>
      <c r="B185" s="2"/>
      <c r="C185" s="2"/>
      <c r="D185" s="2" t="s">
        <v>183</v>
      </c>
      <c r="E185" s="2" t="s">
        <v>363</v>
      </c>
      <c r="F185" s="2" t="e">
        <v>#N/A</v>
      </c>
      <c r="G185" s="2">
        <v>2</v>
      </c>
      <c r="H185" s="2">
        <v>3</v>
      </c>
      <c r="I185" s="2">
        <v>4</v>
      </c>
      <c r="J185" s="2" t="e">
        <f t="shared" si="5"/>
        <v>#N/A</v>
      </c>
    </row>
    <row r="186" spans="1:10">
      <c r="D186" t="s">
        <v>183</v>
      </c>
      <c r="E186" t="s">
        <v>364</v>
      </c>
      <c r="F186" t="e">
        <v>#N/A</v>
      </c>
      <c r="G186">
        <v>2</v>
      </c>
      <c r="H186">
        <v>3</v>
      </c>
      <c r="I186">
        <v>4</v>
      </c>
      <c r="J186" s="2" t="e">
        <f t="shared" si="5"/>
        <v>#N/A</v>
      </c>
    </row>
    <row r="187" spans="1:10">
      <c r="A187" s="2"/>
      <c r="B187" s="2"/>
      <c r="C187" s="2"/>
      <c r="D187" s="2" t="s">
        <v>183</v>
      </c>
      <c r="E187" s="2" t="s">
        <v>365</v>
      </c>
      <c r="F187" s="2" t="e">
        <v>#N/A</v>
      </c>
      <c r="G187" s="2">
        <v>2</v>
      </c>
      <c r="H187" s="2">
        <v>3</v>
      </c>
      <c r="I187" s="2">
        <v>4</v>
      </c>
      <c r="J187" s="2" t="e">
        <f t="shared" si="5"/>
        <v>#N/A</v>
      </c>
    </row>
    <row r="188" spans="1:10">
      <c r="D188" t="s">
        <v>183</v>
      </c>
      <c r="E188" t="s">
        <v>366</v>
      </c>
      <c r="F188" t="e">
        <v>#N/A</v>
      </c>
      <c r="G188">
        <v>2</v>
      </c>
      <c r="H188">
        <v>3</v>
      </c>
      <c r="I188">
        <v>4</v>
      </c>
      <c r="J188" s="2" t="e">
        <f t="shared" si="5"/>
        <v>#N/A</v>
      </c>
    </row>
  </sheetData>
  <phoneticPr fontId="5" type="noConversion"/>
  <conditionalFormatting sqref="J1:J72 J78:J18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3:J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J2:J9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1D40-5BB5-4BB2-8DE6-5C9CEE896C25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E90A-DF73-490D-9CEF-886454E8CCCD}">
  <dimension ref="A3:B126"/>
  <sheetViews>
    <sheetView workbookViewId="0"/>
  </sheetViews>
  <sheetFormatPr defaultRowHeight="14.4"/>
  <cols>
    <col min="1" max="1" width="39.44140625" bestFit="1" customWidth="1"/>
    <col min="2" max="2" width="28.88671875" bestFit="1" customWidth="1"/>
  </cols>
  <sheetData>
    <row r="3" spans="1:2">
      <c r="A3" s="4" t="s">
        <v>208</v>
      </c>
      <c r="B3" t="s">
        <v>210</v>
      </c>
    </row>
    <row r="4" spans="1:2">
      <c r="A4" s="5" t="s">
        <v>9</v>
      </c>
      <c r="B4" s="3"/>
    </row>
    <row r="5" spans="1:2">
      <c r="A5" s="6" t="s">
        <v>21</v>
      </c>
      <c r="B5" s="3"/>
    </row>
    <row r="6" spans="1:2">
      <c r="A6" s="7" t="s">
        <v>66</v>
      </c>
      <c r="B6" s="3">
        <v>3</v>
      </c>
    </row>
    <row r="7" spans="1:2">
      <c r="A7" s="7" t="s">
        <v>110</v>
      </c>
      <c r="B7" s="3">
        <v>4</v>
      </c>
    </row>
    <row r="8" spans="1:2">
      <c r="A8" s="7" t="s">
        <v>74</v>
      </c>
      <c r="B8" s="3">
        <v>4</v>
      </c>
    </row>
    <row r="9" spans="1:2">
      <c r="A9" s="7" t="s">
        <v>84</v>
      </c>
      <c r="B9" s="3">
        <v>3</v>
      </c>
    </row>
    <row r="10" spans="1:2">
      <c r="A10" s="6" t="s">
        <v>17</v>
      </c>
      <c r="B10" s="3"/>
    </row>
    <row r="11" spans="1:2">
      <c r="A11" s="7" t="s">
        <v>94</v>
      </c>
      <c r="B11" s="3">
        <v>2</v>
      </c>
    </row>
    <row r="12" spans="1:2">
      <c r="A12" s="7" t="s">
        <v>18</v>
      </c>
      <c r="B12" s="3">
        <v>3</v>
      </c>
    </row>
    <row r="13" spans="1:2">
      <c r="A13" s="7" t="s">
        <v>98</v>
      </c>
      <c r="B13" s="3">
        <v>3</v>
      </c>
    </row>
    <row r="14" spans="1:2">
      <c r="A14" s="6" t="s">
        <v>33</v>
      </c>
      <c r="B14" s="3"/>
    </row>
    <row r="15" spans="1:2">
      <c r="A15" s="7" t="s">
        <v>116</v>
      </c>
      <c r="B15" s="3">
        <v>3</v>
      </c>
    </row>
    <row r="16" spans="1:2">
      <c r="A16" s="7" t="s">
        <v>112</v>
      </c>
      <c r="B16" s="3">
        <v>3</v>
      </c>
    </row>
    <row r="17" spans="1:2">
      <c r="A17" s="7" t="s">
        <v>96</v>
      </c>
      <c r="B17" s="3">
        <v>3</v>
      </c>
    </row>
    <row r="18" spans="1:2">
      <c r="A18" s="6" t="s">
        <v>36</v>
      </c>
      <c r="B18" s="3"/>
    </row>
    <row r="19" spans="1:2">
      <c r="A19" s="7" t="s">
        <v>151</v>
      </c>
      <c r="B19" s="3">
        <v>4</v>
      </c>
    </row>
    <row r="20" spans="1:2">
      <c r="A20" s="7" t="s">
        <v>82</v>
      </c>
      <c r="B20" s="3">
        <v>3</v>
      </c>
    </row>
    <row r="21" spans="1:2">
      <c r="A21" s="7" t="s">
        <v>104</v>
      </c>
      <c r="B21" s="3">
        <v>1</v>
      </c>
    </row>
    <row r="22" spans="1:2">
      <c r="A22" s="7" t="s">
        <v>90</v>
      </c>
      <c r="B22" s="3">
        <v>2</v>
      </c>
    </row>
    <row r="23" spans="1:2">
      <c r="A23" s="7" t="s">
        <v>108</v>
      </c>
      <c r="B23" s="3">
        <v>3</v>
      </c>
    </row>
    <row r="24" spans="1:2">
      <c r="A24" s="7" t="s">
        <v>86</v>
      </c>
      <c r="B24" s="3">
        <v>2</v>
      </c>
    </row>
    <row r="25" spans="1:2">
      <c r="A25" s="7" t="s">
        <v>199</v>
      </c>
      <c r="B25" s="3">
        <v>4</v>
      </c>
    </row>
    <row r="26" spans="1:2">
      <c r="A26" s="6" t="s">
        <v>10</v>
      </c>
      <c r="B26" s="3"/>
    </row>
    <row r="27" spans="1:2">
      <c r="A27" s="7" t="s">
        <v>24</v>
      </c>
      <c r="B27" s="3">
        <v>3</v>
      </c>
    </row>
    <row r="28" spans="1:2">
      <c r="A28" s="7" t="s">
        <v>11</v>
      </c>
      <c r="B28" s="3">
        <v>1</v>
      </c>
    </row>
    <row r="29" spans="1:2">
      <c r="A29" s="7" t="s">
        <v>39</v>
      </c>
      <c r="B29" s="3">
        <v>1</v>
      </c>
    </row>
    <row r="30" spans="1:2">
      <c r="A30" s="7" t="s">
        <v>80</v>
      </c>
      <c r="B30" s="3">
        <v>1</v>
      </c>
    </row>
    <row r="31" spans="1:2">
      <c r="A31" s="7" t="s">
        <v>62</v>
      </c>
      <c r="B31" s="3">
        <v>1</v>
      </c>
    </row>
    <row r="32" spans="1:2">
      <c r="A32" s="6" t="s">
        <v>14</v>
      </c>
      <c r="B32" s="3"/>
    </row>
    <row r="33" spans="1:2">
      <c r="A33" s="7" t="s">
        <v>102</v>
      </c>
      <c r="B33" s="3">
        <v>2</v>
      </c>
    </row>
    <row r="34" spans="1:2">
      <c r="A34" s="7" t="s">
        <v>106</v>
      </c>
      <c r="B34" s="3">
        <v>2</v>
      </c>
    </row>
    <row r="35" spans="1:2">
      <c r="A35" s="7" t="s">
        <v>15</v>
      </c>
      <c r="B35" s="3">
        <v>3</v>
      </c>
    </row>
    <row r="36" spans="1:2">
      <c r="A36" s="5" t="s">
        <v>20</v>
      </c>
      <c r="B36" s="3"/>
    </row>
    <row r="37" spans="1:2">
      <c r="A37" s="6" t="s">
        <v>21</v>
      </c>
      <c r="B37" s="3"/>
    </row>
    <row r="38" spans="1:2">
      <c r="A38" s="7" t="s">
        <v>22</v>
      </c>
      <c r="B38" s="3">
        <v>3</v>
      </c>
    </row>
    <row r="39" spans="1:2">
      <c r="A39" s="7" t="s">
        <v>60</v>
      </c>
      <c r="B39" s="3">
        <v>1</v>
      </c>
    </row>
    <row r="40" spans="1:2">
      <c r="A40" s="7" t="s">
        <v>114</v>
      </c>
      <c r="B40" s="3">
        <v>3</v>
      </c>
    </row>
    <row r="41" spans="1:2">
      <c r="A41" s="6" t="s">
        <v>17</v>
      </c>
      <c r="B41" s="3"/>
    </row>
    <row r="42" spans="1:2">
      <c r="A42" s="7" t="s">
        <v>92</v>
      </c>
      <c r="B42" s="3">
        <v>2</v>
      </c>
    </row>
    <row r="43" spans="1:2">
      <c r="A43" s="7" t="s">
        <v>28</v>
      </c>
      <c r="B43" s="3">
        <v>2</v>
      </c>
    </row>
    <row r="44" spans="1:2">
      <c r="A44" s="7" t="s">
        <v>41</v>
      </c>
      <c r="B44" s="3">
        <v>2</v>
      </c>
    </row>
    <row r="45" spans="1:2">
      <c r="A45" s="6" t="s">
        <v>33</v>
      </c>
      <c r="B45" s="3"/>
    </row>
    <row r="46" spans="1:2">
      <c r="A46" s="7" t="s">
        <v>159</v>
      </c>
      <c r="B46" s="3">
        <v>2</v>
      </c>
    </row>
    <row r="47" spans="1:2">
      <c r="A47" s="7" t="s">
        <v>123</v>
      </c>
      <c r="B47" s="3">
        <v>2</v>
      </c>
    </row>
    <row r="48" spans="1:2">
      <c r="A48" s="7" t="s">
        <v>119</v>
      </c>
      <c r="B48" s="3">
        <v>4</v>
      </c>
    </row>
    <row r="49" spans="1:2">
      <c r="A49" s="7" t="s">
        <v>223</v>
      </c>
      <c r="B49" s="3">
        <v>3</v>
      </c>
    </row>
    <row r="50" spans="1:2">
      <c r="A50" s="7" t="s">
        <v>141</v>
      </c>
      <c r="B50" s="3">
        <v>1</v>
      </c>
    </row>
    <row r="51" spans="1:2">
      <c r="A51" s="6" t="s">
        <v>36</v>
      </c>
      <c r="B51" s="3"/>
    </row>
    <row r="52" spans="1:2">
      <c r="A52" s="7" t="s">
        <v>145</v>
      </c>
      <c r="B52" s="3">
        <v>2</v>
      </c>
    </row>
    <row r="53" spans="1:2">
      <c r="A53" s="7" t="s">
        <v>72</v>
      </c>
      <c r="B53" s="3">
        <v>2</v>
      </c>
    </row>
    <row r="54" spans="1:2">
      <c r="A54" s="7" t="s">
        <v>180</v>
      </c>
      <c r="B54" s="3">
        <v>4</v>
      </c>
    </row>
    <row r="55" spans="1:2">
      <c r="A55" s="7" t="s">
        <v>127</v>
      </c>
      <c r="B55" s="3">
        <v>2</v>
      </c>
    </row>
    <row r="56" spans="1:2">
      <c r="A56" s="7" t="s">
        <v>64</v>
      </c>
      <c r="B56" s="3">
        <v>2</v>
      </c>
    </row>
    <row r="57" spans="1:2">
      <c r="A57" s="7" t="s">
        <v>147</v>
      </c>
      <c r="B57" s="3">
        <v>2</v>
      </c>
    </row>
    <row r="58" spans="1:2">
      <c r="A58" s="7" t="s">
        <v>37</v>
      </c>
      <c r="B58" s="3">
        <v>2</v>
      </c>
    </row>
    <row r="59" spans="1:2">
      <c r="A59" s="6" t="s">
        <v>10</v>
      </c>
      <c r="B59" s="3"/>
    </row>
    <row r="60" spans="1:2">
      <c r="A60" s="7" t="s">
        <v>52</v>
      </c>
      <c r="B60" s="3">
        <v>2</v>
      </c>
    </row>
    <row r="61" spans="1:2">
      <c r="A61" s="7" t="s">
        <v>189</v>
      </c>
      <c r="B61" s="3">
        <v>1</v>
      </c>
    </row>
    <row r="62" spans="1:2">
      <c r="A62" s="7" t="s">
        <v>100</v>
      </c>
      <c r="B62" s="3">
        <v>4</v>
      </c>
    </row>
    <row r="63" spans="1:2">
      <c r="A63" s="7" t="s">
        <v>185</v>
      </c>
      <c r="B63" s="3">
        <v>2</v>
      </c>
    </row>
    <row r="64" spans="1:2">
      <c r="A64" s="6" t="s">
        <v>14</v>
      </c>
      <c r="B64" s="3"/>
    </row>
    <row r="65" spans="1:2">
      <c r="A65" s="7" t="s">
        <v>163</v>
      </c>
      <c r="B65" s="3">
        <v>3</v>
      </c>
    </row>
    <row r="66" spans="1:2">
      <c r="A66" s="7" t="s">
        <v>137</v>
      </c>
      <c r="B66" s="3">
        <v>1</v>
      </c>
    </row>
    <row r="67" spans="1:2">
      <c r="A67" s="7" t="s">
        <v>191</v>
      </c>
      <c r="B67" s="3">
        <v>1</v>
      </c>
    </row>
    <row r="68" spans="1:2">
      <c r="A68" s="7" t="s">
        <v>129</v>
      </c>
      <c r="B68" s="3">
        <v>1</v>
      </c>
    </row>
    <row r="69" spans="1:2">
      <c r="A69" s="7" t="s">
        <v>131</v>
      </c>
      <c r="B69" s="3">
        <v>1</v>
      </c>
    </row>
    <row r="70" spans="1:2">
      <c r="A70" s="7" t="s">
        <v>133</v>
      </c>
      <c r="B70" s="3">
        <v>1</v>
      </c>
    </row>
    <row r="71" spans="1:2">
      <c r="A71" s="7" t="s">
        <v>227</v>
      </c>
      <c r="B71" s="3">
        <v>2</v>
      </c>
    </row>
    <row r="72" spans="1:2">
      <c r="A72" s="5" t="s">
        <v>32</v>
      </c>
      <c r="B72" s="3"/>
    </row>
    <row r="73" spans="1:2">
      <c r="A73" s="6" t="s">
        <v>21</v>
      </c>
      <c r="B73" s="3"/>
    </row>
    <row r="74" spans="1:2">
      <c r="A74" s="7" t="s">
        <v>30</v>
      </c>
      <c r="B74" s="3">
        <v>1</v>
      </c>
    </row>
    <row r="75" spans="1:2">
      <c r="A75" s="7" t="s">
        <v>68</v>
      </c>
      <c r="B75" s="3">
        <v>2</v>
      </c>
    </row>
    <row r="76" spans="1:2">
      <c r="A76" s="7" t="s">
        <v>46</v>
      </c>
      <c r="B76" s="3">
        <v>1</v>
      </c>
    </row>
    <row r="77" spans="1:2">
      <c r="A77" s="7" t="s">
        <v>50</v>
      </c>
      <c r="B77" s="3">
        <v>2</v>
      </c>
    </row>
    <row r="78" spans="1:2">
      <c r="A78" s="6" t="s">
        <v>17</v>
      </c>
      <c r="B78" s="3"/>
    </row>
    <row r="79" spans="1:2">
      <c r="A79" s="7" t="s">
        <v>48</v>
      </c>
      <c r="B79" s="3">
        <v>4</v>
      </c>
    </row>
    <row r="80" spans="1:2">
      <c r="A80" s="7" t="s">
        <v>26</v>
      </c>
      <c r="B80" s="3">
        <v>3</v>
      </c>
    </row>
    <row r="81" spans="1:2">
      <c r="A81" s="7" t="s">
        <v>54</v>
      </c>
      <c r="B81" s="3">
        <v>2</v>
      </c>
    </row>
    <row r="82" spans="1:2">
      <c r="A82" s="6" t="s">
        <v>33</v>
      </c>
      <c r="B82" s="3"/>
    </row>
    <row r="83" spans="1:2">
      <c r="A83" s="7" t="s">
        <v>125</v>
      </c>
      <c r="B83" s="3">
        <v>1</v>
      </c>
    </row>
    <row r="84" spans="1:2">
      <c r="A84" s="7" t="s">
        <v>221</v>
      </c>
      <c r="B84" s="3">
        <v>3</v>
      </c>
    </row>
    <row r="85" spans="1:2">
      <c r="A85" s="7" t="s">
        <v>157</v>
      </c>
      <c r="B85" s="3">
        <v>2</v>
      </c>
    </row>
    <row r="86" spans="1:2">
      <c r="A86" s="7" t="s">
        <v>121</v>
      </c>
      <c r="B86" s="3">
        <v>4</v>
      </c>
    </row>
    <row r="87" spans="1:2">
      <c r="A87" s="7" t="s">
        <v>34</v>
      </c>
      <c r="B87" s="3">
        <v>4</v>
      </c>
    </row>
    <row r="88" spans="1:2">
      <c r="A88" s="7" t="s">
        <v>88</v>
      </c>
      <c r="B88" s="3">
        <v>4</v>
      </c>
    </row>
    <row r="89" spans="1:2">
      <c r="A89" s="6" t="s">
        <v>36</v>
      </c>
      <c r="B89" s="3"/>
    </row>
    <row r="90" spans="1:2">
      <c r="A90" s="7" t="s">
        <v>197</v>
      </c>
      <c r="B90" s="3">
        <v>3</v>
      </c>
    </row>
    <row r="91" spans="1:2">
      <c r="A91" s="7" t="s">
        <v>165</v>
      </c>
      <c r="B91" s="3">
        <v>4</v>
      </c>
    </row>
    <row r="92" spans="1:2">
      <c r="A92" s="7" t="s">
        <v>153</v>
      </c>
      <c r="B92" s="3">
        <v>4</v>
      </c>
    </row>
    <row r="93" spans="1:2">
      <c r="A93" s="7" t="s">
        <v>149</v>
      </c>
      <c r="B93" s="3">
        <v>4</v>
      </c>
    </row>
    <row r="94" spans="1:2">
      <c r="A94" s="7" t="s">
        <v>155</v>
      </c>
      <c r="B94" s="3">
        <v>4</v>
      </c>
    </row>
    <row r="95" spans="1:2">
      <c r="A95" s="7" t="s">
        <v>201</v>
      </c>
      <c r="B95" s="3">
        <v>3</v>
      </c>
    </row>
    <row r="96" spans="1:2">
      <c r="A96" s="6" t="s">
        <v>10</v>
      </c>
      <c r="B96" s="3"/>
    </row>
    <row r="97" spans="1:2">
      <c r="A97" s="7" t="s">
        <v>143</v>
      </c>
      <c r="B97" s="3">
        <v>4</v>
      </c>
    </row>
    <row r="98" spans="1:2">
      <c r="A98" s="7" t="s">
        <v>70</v>
      </c>
      <c r="B98" s="3">
        <v>1</v>
      </c>
    </row>
    <row r="99" spans="1:2">
      <c r="A99" s="7" t="s">
        <v>139</v>
      </c>
      <c r="B99" s="3">
        <v>1</v>
      </c>
    </row>
    <row r="100" spans="1:2">
      <c r="A100" s="6" t="s">
        <v>14</v>
      </c>
      <c r="B100" s="3"/>
    </row>
    <row r="101" spans="1:2">
      <c r="A101" s="7" t="s">
        <v>58</v>
      </c>
      <c r="B101" s="3">
        <v>4</v>
      </c>
    </row>
    <row r="102" spans="1:2">
      <c r="A102" s="7" t="s">
        <v>161</v>
      </c>
      <c r="B102" s="3">
        <v>2</v>
      </c>
    </row>
    <row r="103" spans="1:2">
      <c r="A103" s="7" t="s">
        <v>78</v>
      </c>
      <c r="B103" s="3">
        <v>4</v>
      </c>
    </row>
    <row r="104" spans="1:2">
      <c r="A104" s="7" t="s">
        <v>135</v>
      </c>
      <c r="B104" s="3">
        <v>2</v>
      </c>
    </row>
    <row r="105" spans="1:2">
      <c r="A105" s="7" t="s">
        <v>225</v>
      </c>
      <c r="B105" s="3">
        <v>2</v>
      </c>
    </row>
    <row r="106" spans="1:2">
      <c r="A106" s="5" t="s">
        <v>167</v>
      </c>
      <c r="B106" s="3"/>
    </row>
    <row r="107" spans="1:2">
      <c r="A107" s="6" t="s">
        <v>211</v>
      </c>
      <c r="B107" s="3"/>
    </row>
    <row r="108" spans="1:2">
      <c r="A108" s="7" t="s">
        <v>170</v>
      </c>
      <c r="B108" s="3">
        <v>3</v>
      </c>
    </row>
    <row r="109" spans="1:2">
      <c r="A109" s="7" t="s">
        <v>178</v>
      </c>
      <c r="B109" s="3">
        <v>4</v>
      </c>
    </row>
    <row r="110" spans="1:2">
      <c r="A110" s="7" t="s">
        <v>176</v>
      </c>
      <c r="B110" s="3">
        <v>4</v>
      </c>
    </row>
    <row r="111" spans="1:2">
      <c r="A111" s="7" t="s">
        <v>168</v>
      </c>
      <c r="B111" s="3">
        <v>2</v>
      </c>
    </row>
    <row r="112" spans="1:2">
      <c r="A112" s="7" t="s">
        <v>195</v>
      </c>
      <c r="B112" s="3">
        <v>2</v>
      </c>
    </row>
    <row r="113" spans="1:2">
      <c r="A113" s="7" t="s">
        <v>172</v>
      </c>
      <c r="B113" s="3">
        <v>4</v>
      </c>
    </row>
    <row r="114" spans="1:2">
      <c r="A114" s="7" t="s">
        <v>187</v>
      </c>
      <c r="B114" s="3">
        <v>3</v>
      </c>
    </row>
    <row r="115" spans="1:2">
      <c r="A115" s="5" t="s">
        <v>43</v>
      </c>
      <c r="B115" s="3"/>
    </row>
    <row r="116" spans="1:2">
      <c r="A116" s="6" t="s">
        <v>212</v>
      </c>
      <c r="B116" s="3"/>
    </row>
    <row r="117" spans="1:2">
      <c r="A117" s="7" t="s">
        <v>44</v>
      </c>
      <c r="B117" s="3">
        <v>1</v>
      </c>
    </row>
    <row r="118" spans="1:2">
      <c r="A118" s="7" t="s">
        <v>182</v>
      </c>
      <c r="B118" s="3">
        <v>4</v>
      </c>
    </row>
    <row r="119" spans="1:2">
      <c r="A119" s="7" t="s">
        <v>174</v>
      </c>
      <c r="B119" s="3">
        <v>1</v>
      </c>
    </row>
    <row r="120" spans="1:2">
      <c r="A120" s="6" t="s">
        <v>213</v>
      </c>
      <c r="B120" s="3"/>
    </row>
    <row r="121" spans="1:2">
      <c r="A121" s="7" t="s">
        <v>203</v>
      </c>
      <c r="B121" s="3">
        <v>4</v>
      </c>
    </row>
    <row r="122" spans="1:2">
      <c r="A122" s="7" t="s">
        <v>56</v>
      </c>
      <c r="B122" s="3">
        <v>1</v>
      </c>
    </row>
    <row r="123" spans="1:2">
      <c r="A123" s="7" t="s">
        <v>205</v>
      </c>
      <c r="B123" s="3">
        <v>4</v>
      </c>
    </row>
    <row r="124" spans="1:2">
      <c r="A124" s="7" t="s">
        <v>76</v>
      </c>
      <c r="B124" s="3">
        <v>1</v>
      </c>
    </row>
    <row r="125" spans="1:2">
      <c r="A125" s="7" t="s">
        <v>193</v>
      </c>
      <c r="B125" s="3">
        <v>3</v>
      </c>
    </row>
    <row r="126" spans="1:2">
      <c r="A126" s="5" t="s">
        <v>209</v>
      </c>
      <c r="B126" s="3">
        <v>2.5</v>
      </c>
    </row>
  </sheetData>
  <conditionalFormatting sqref="A1:A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3 B127:B1048576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B1:B3 B127:B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3 B127:B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3 B127:B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3 B127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580AE664-7598-4C80-BB51-1E7FD04214E2}">
            <x14:iconSet iconSet="3Symbols" custom="1">
              <x14:cfvo type="percent">
                <xm:f>0</xm:f>
              </x14:cfvo>
              <x14:cfvo type="percent">
                <xm:f>3</xm:f>
              </x14:cfvo>
              <x14:cfvo type="percent">
                <xm:f>4</xm:f>
              </x14:cfvo>
              <x14:cfIcon iconSet="3Symbols" iconId="2"/>
              <x14:cfIcon iconSet="3Symbols" iconId="1"/>
              <x14:cfIcon iconSet="3Symbols" iconId="0"/>
            </x14:iconSet>
          </x14:cfRule>
          <xm:sqref>B1:B3 B127:B1048576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D9AC-7662-4A14-A119-78C2CBCFD59F}">
  <sheetPr>
    <pageSetUpPr fitToPage="1"/>
  </sheetPr>
  <dimension ref="A1:R52"/>
  <sheetViews>
    <sheetView topLeftCell="B1" zoomScaleNormal="100" workbookViewId="0">
      <selection activeCell="D5" sqref="D5"/>
    </sheetView>
  </sheetViews>
  <sheetFormatPr defaultRowHeight="14.4"/>
  <cols>
    <col min="2" max="4" width="30" customWidth="1"/>
  </cols>
  <sheetData>
    <row r="1" spans="1:18" ht="15" thickBot="1"/>
    <row r="2" spans="1:18" ht="15" thickBot="1">
      <c r="B2" s="8" t="s">
        <v>214</v>
      </c>
      <c r="C2" s="9"/>
      <c r="D2" s="10" t="s">
        <v>215</v>
      </c>
      <c r="G2" s="8" t="str">
        <f>IFERROR(VLOOKUP(B2,Itemoverzicht!$C:$J,8,FALSE),"xxx")</f>
        <v>xxx</v>
      </c>
      <c r="H2" s="8" t="str">
        <f>IFERROR(VLOOKUP(C2,Itemoverzicht!$C:$J,8,FALSE),"xxx")</f>
        <v>xxx</v>
      </c>
      <c r="I2" s="8" t="str">
        <f>IFERROR(VLOOKUP(D2,Itemoverzicht!$C:$J,8,FALSE),"xxx")</f>
        <v>xxx</v>
      </c>
    </row>
    <row r="3" spans="1:18" ht="15" thickBot="1">
      <c r="B3" s="11" t="s">
        <v>216</v>
      </c>
      <c r="C3" s="12" t="s">
        <v>217</v>
      </c>
      <c r="D3" s="12" t="s">
        <v>218</v>
      </c>
      <c r="G3" s="8" t="str">
        <f>IFERROR(VLOOKUP(B3,Itemoverzicht!$C:$J,8,FALSE),"xxx")</f>
        <v>xxx</v>
      </c>
      <c r="H3" s="8" t="str">
        <f>IFERROR(VLOOKUP(C3,Itemoverzicht!$C:$J,8,FALSE),"xxx")</f>
        <v>xxx</v>
      </c>
      <c r="I3" s="8" t="str">
        <f>IFERROR(VLOOKUP(D3,Itemoverzicht!$C:$J,8,FALSE),"xxx")</f>
        <v>xxx</v>
      </c>
    </row>
    <row r="4" spans="1:18" ht="15" thickBot="1">
      <c r="B4" s="13" t="s">
        <v>21</v>
      </c>
      <c r="C4" s="13" t="s">
        <v>21</v>
      </c>
      <c r="D4" s="13" t="s">
        <v>21</v>
      </c>
      <c r="G4" s="8" t="str">
        <f>IFERROR(VLOOKUP(B4,Itemoverzicht!$C:$J,8,FALSE),"xxx")</f>
        <v>xxx</v>
      </c>
      <c r="H4" s="8" t="str">
        <f>IFERROR(VLOOKUP(C4,Itemoverzicht!$C:$J,8,FALSE),"xxx")</f>
        <v>xxx</v>
      </c>
      <c r="I4" s="8" t="str">
        <f>IFERROR(VLOOKUP(D4,Itemoverzicht!$C:$J,8,FALSE),"xxx")</f>
        <v>xxx</v>
      </c>
    </row>
    <row r="5" spans="1:18" ht="15" thickBot="1">
      <c r="B5" s="16" t="s">
        <v>66</v>
      </c>
      <c r="C5" s="16" t="s">
        <v>60</v>
      </c>
      <c r="D5" s="16" t="s">
        <v>46</v>
      </c>
      <c r="G5" s="8" t="str">
        <f>IFERROR(VLOOKUP(B5,Itemoverzicht!$C:$J,8,FALSE),"xxx")</f>
        <v>xxx</v>
      </c>
      <c r="H5" s="8" t="str">
        <f>IFERROR(VLOOKUP(C5,Itemoverzicht!$C:$J,8,FALSE),"xxx")</f>
        <v>xxx</v>
      </c>
      <c r="I5" s="8" t="str">
        <f>IFERROR(VLOOKUP(D5,Itemoverzicht!$C:$J,8,FALSE),"xxx")</f>
        <v>xxx</v>
      </c>
    </row>
    <row r="6" spans="1:18" ht="15" thickBot="1">
      <c r="B6" s="16" t="s">
        <v>74</v>
      </c>
      <c r="C6" s="16" t="s">
        <v>114</v>
      </c>
      <c r="D6" s="16" t="s">
        <v>50</v>
      </c>
      <c r="G6" s="8" t="str">
        <f>IFERROR(VLOOKUP(B6,Itemoverzicht!$C:$J,8,FALSE),"xxx")</f>
        <v>xxx</v>
      </c>
      <c r="H6" s="8" t="str">
        <f>IFERROR(VLOOKUP(C6,Itemoverzicht!$C:$J,8,FALSE),"xxx")</f>
        <v>xxx</v>
      </c>
      <c r="I6" s="8" t="str">
        <f>IFERROR(VLOOKUP(D6,Itemoverzicht!$C:$J,8,FALSE),"xxx")</f>
        <v>xxx</v>
      </c>
    </row>
    <row r="7" spans="1:18" ht="15" thickBot="1">
      <c r="B7" s="16" t="s">
        <v>84</v>
      </c>
      <c r="C7" s="16" t="s">
        <v>22</v>
      </c>
      <c r="D7" s="16" t="s">
        <v>68</v>
      </c>
      <c r="G7" s="8" t="str">
        <f>IFERROR(VLOOKUP(B7,Itemoverzicht!$C:$J,8,FALSE),"xxx")</f>
        <v>xxx</v>
      </c>
      <c r="H7" s="8" t="str">
        <f>IFERROR(VLOOKUP(C7,Itemoverzicht!$C:$J,8,FALSE),"xxx")</f>
        <v>xxx</v>
      </c>
      <c r="I7" s="8" t="str">
        <f>IFERROR(VLOOKUP(D7,Itemoverzicht!$C:$J,8,FALSE),"xxx")</f>
        <v>xxx</v>
      </c>
    </row>
    <row r="8" spans="1:18" ht="15" thickBot="1">
      <c r="A8" s="26"/>
      <c r="B8" s="14" t="s">
        <v>110</v>
      </c>
      <c r="C8" s="14"/>
      <c r="D8" s="14" t="s">
        <v>30</v>
      </c>
      <c r="G8" s="8" t="str">
        <f>IFERROR(VLOOKUP(B8,Itemoverzicht!$C:$J,8,FALSE),"xxx")</f>
        <v>xxx</v>
      </c>
      <c r="H8" s="8" t="str">
        <f>IFERROR(VLOOKUP(C8,Itemoverzicht!$C:$J,8,FALSE),"xxx")</f>
        <v>xxx</v>
      </c>
      <c r="I8" s="8" t="str">
        <f>IFERROR(VLOOKUP(D8,Itemoverzicht!$C:$J,8,FALSE),"xxx")</f>
        <v>xxx</v>
      </c>
    </row>
    <row r="9" spans="1:18" ht="15" thickBot="1">
      <c r="B9" s="13" t="s">
        <v>17</v>
      </c>
      <c r="C9" s="13" t="s">
        <v>17</v>
      </c>
      <c r="D9" s="13" t="s">
        <v>17</v>
      </c>
      <c r="G9" s="8" t="str">
        <f>IFERROR(VLOOKUP(B9,Itemoverzicht!$C:$J,8,FALSE),"xxx")</f>
        <v>xxx</v>
      </c>
      <c r="H9" s="8" t="str">
        <f>IFERROR(VLOOKUP(C9,Itemoverzicht!$C:$J,8,FALSE),"xxx")</f>
        <v>xxx</v>
      </c>
      <c r="I9" s="8" t="str">
        <f>IFERROR(VLOOKUP(D9,Itemoverzicht!$C:$J,8,FALSE),"xxx")</f>
        <v>xxx</v>
      </c>
    </row>
    <row r="10" spans="1:18" ht="15" thickBot="1">
      <c r="B10" s="16" t="s">
        <v>94</v>
      </c>
      <c r="C10" s="16" t="s">
        <v>41</v>
      </c>
      <c r="D10" s="16" t="s">
        <v>48</v>
      </c>
      <c r="G10" s="8" t="str">
        <f>IFERROR(VLOOKUP(B10,Itemoverzicht!$C:$J,8,FALSE),"xxx")</f>
        <v>xxx</v>
      </c>
      <c r="H10" s="8" t="str">
        <f>IFERROR(VLOOKUP(C10,Itemoverzicht!$C:$J,8,FALSE),"xxx")</f>
        <v>xxx</v>
      </c>
      <c r="I10" s="8" t="str">
        <f>IFERROR(VLOOKUP(D10,Itemoverzicht!$C:$J,8,FALSE),"xxx")</f>
        <v>xxx</v>
      </c>
    </row>
    <row r="11" spans="1:18" ht="15" thickBot="1">
      <c r="B11" s="16" t="s">
        <v>98</v>
      </c>
      <c r="C11" s="16" t="s">
        <v>92</v>
      </c>
      <c r="D11" s="16" t="s">
        <v>54</v>
      </c>
      <c r="G11" s="8" t="str">
        <f>IFERROR(VLOOKUP(B11,Itemoverzicht!$C:$J,8,FALSE),"xxx")</f>
        <v>xxx</v>
      </c>
      <c r="H11" s="8" t="str">
        <f>IFERROR(VLOOKUP(C11,Itemoverzicht!$C:$J,8,FALSE),"xxx")</f>
        <v>xxx</v>
      </c>
      <c r="I11" s="8" t="str">
        <f>IFERROR(VLOOKUP(D11,Itemoverzicht!$C:$J,8,FALSE),"xxx")</f>
        <v>xxx</v>
      </c>
      <c r="L11" s="30"/>
      <c r="M11" s="31"/>
      <c r="N11" s="31"/>
      <c r="O11" s="32"/>
      <c r="P11" s="30"/>
      <c r="Q11" s="31"/>
      <c r="R11" s="31"/>
    </row>
    <row r="12" spans="1:18" ht="15" thickBot="1">
      <c r="B12" s="33" t="s">
        <v>18</v>
      </c>
      <c r="C12" s="14" t="s">
        <v>28</v>
      </c>
      <c r="D12" s="14" t="s">
        <v>26</v>
      </c>
      <c r="G12" s="8" t="str">
        <f>IFERROR(VLOOKUP(B12,Itemoverzicht!$C:$J,8,FALSE),"xxx")</f>
        <v>xxx</v>
      </c>
      <c r="H12" s="8" t="str">
        <f>IFERROR(VLOOKUP(C12,Itemoverzicht!$C:$J,8,FALSE),"xxx")</f>
        <v>xxx</v>
      </c>
      <c r="I12" s="8" t="str">
        <f>IFERROR(VLOOKUP(D12,Itemoverzicht!$C:$J,8,FALSE),"xxx")</f>
        <v>xxx</v>
      </c>
      <c r="L12" s="30"/>
      <c r="M12" s="31"/>
      <c r="N12" s="31"/>
      <c r="O12" s="32"/>
      <c r="P12" s="30"/>
      <c r="Q12" s="31"/>
      <c r="R12" s="31"/>
    </row>
    <row r="13" spans="1:18" ht="15" thickBot="1">
      <c r="B13" s="13" t="s">
        <v>33</v>
      </c>
      <c r="C13" s="15" t="s">
        <v>33</v>
      </c>
      <c r="D13" s="15" t="s">
        <v>33</v>
      </c>
      <c r="G13" s="8" t="str">
        <f>IFERROR(VLOOKUP(B13,Itemoverzicht!$C:$J,8,FALSE),"xxx")</f>
        <v>xxx</v>
      </c>
      <c r="H13" s="8" t="str">
        <f>IFERROR(VLOOKUP(C13,Itemoverzicht!$C:$J,8,FALSE),"xxx")</f>
        <v>xxx</v>
      </c>
      <c r="I13" s="8" t="str">
        <f>IFERROR(VLOOKUP(D13,Itemoverzicht!$C:$J,8,FALSE),"xxx")</f>
        <v>xxx</v>
      </c>
      <c r="L13" s="30"/>
      <c r="M13" s="31"/>
      <c r="N13" s="31"/>
      <c r="O13" s="32"/>
      <c r="P13" s="30"/>
      <c r="Q13" s="31"/>
      <c r="R13" s="31"/>
    </row>
    <row r="14" spans="1:18" ht="15" thickBot="1">
      <c r="B14" s="16" t="s">
        <v>96</v>
      </c>
      <c r="C14" s="17" t="s">
        <v>159</v>
      </c>
      <c r="D14" s="17" t="s">
        <v>125</v>
      </c>
      <c r="G14" s="8" t="str">
        <f>IFERROR(VLOOKUP(B14,Itemoverzicht!$C:$J,8,FALSE),"xxx")</f>
        <v>xxx</v>
      </c>
      <c r="H14" s="8" t="str">
        <f>IFERROR(VLOOKUP(C14,Itemoverzicht!$C:$J,8,FALSE),"xxx")</f>
        <v>xxx</v>
      </c>
      <c r="I14" s="8" t="str">
        <f>IFERROR(VLOOKUP(D14,Itemoverzicht!$C:$J,8,FALSE),"xxx")</f>
        <v>xxx</v>
      </c>
      <c r="L14" s="30"/>
      <c r="M14" s="31"/>
      <c r="N14" s="31"/>
      <c r="O14" s="32"/>
      <c r="P14" s="30"/>
      <c r="Q14" s="31"/>
      <c r="R14" s="31"/>
    </row>
    <row r="15" spans="1:18" ht="15" thickBot="1">
      <c r="B15" s="16" t="s">
        <v>112</v>
      </c>
      <c r="C15" s="17" t="s">
        <v>123</v>
      </c>
      <c r="D15" s="17" t="s">
        <v>157</v>
      </c>
      <c r="G15" s="8" t="str">
        <f>IFERROR(VLOOKUP(B15,Itemoverzicht!$C:$J,8,FALSE),"xxx")</f>
        <v>xxx</v>
      </c>
      <c r="H15" s="8" t="str">
        <f>IFERROR(VLOOKUP(C15,Itemoverzicht!$C:$J,8,FALSE),"xxx")</f>
        <v>xxx</v>
      </c>
      <c r="I15" s="8" t="str">
        <f>IFERROR(VLOOKUP(D15,Itemoverzicht!$C:$J,8,FALSE),"xxx")</f>
        <v>xxx</v>
      </c>
      <c r="L15" s="31"/>
      <c r="M15" s="31"/>
      <c r="N15" s="31"/>
      <c r="O15" s="31"/>
      <c r="P15" s="31"/>
      <c r="Q15" s="31"/>
      <c r="R15" s="31"/>
    </row>
    <row r="16" spans="1:18" ht="15" thickBot="1">
      <c r="B16" s="16" t="s">
        <v>116</v>
      </c>
      <c r="C16" s="17" t="s">
        <v>119</v>
      </c>
      <c r="D16" s="17" t="s">
        <v>121</v>
      </c>
      <c r="G16" s="8" t="str">
        <f>IFERROR(VLOOKUP(B16,Itemoverzicht!$C:$J,8,FALSE),"xxx")</f>
        <v>xxx</v>
      </c>
      <c r="H16" s="8" t="str">
        <f>IFERROR(VLOOKUP(C16,Itemoverzicht!$C:$J,8,FALSE),"xxx")</f>
        <v>xxx</v>
      </c>
      <c r="I16" s="8" t="str">
        <f>IFERROR(VLOOKUP(D16,Itemoverzicht!$C:$J,8,FALSE),"xxx")</f>
        <v>xxx</v>
      </c>
    </row>
    <row r="17" spans="1:9" ht="15" thickBot="1">
      <c r="B17" s="16"/>
      <c r="C17" s="17" t="s">
        <v>34</v>
      </c>
      <c r="D17" s="17" t="s">
        <v>88</v>
      </c>
      <c r="G17" s="8" t="str">
        <f>IFERROR(VLOOKUP(B17,Itemoverzicht!$C:$J,8,FALSE),"xxx")</f>
        <v>xxx</v>
      </c>
      <c r="H17" s="8" t="str">
        <f>IFERROR(VLOOKUP(C17,Itemoverzicht!$C:$J,8,FALSE),"xxx")</f>
        <v>xxx</v>
      </c>
      <c r="I17" s="8" t="str">
        <f>IFERROR(VLOOKUP(D17,Itemoverzicht!$C:$J,8,FALSE),"xxx")</f>
        <v>xxx</v>
      </c>
    </row>
    <row r="18" spans="1:9" ht="15" thickBot="1">
      <c r="B18" s="25"/>
      <c r="C18" s="17" t="s">
        <v>223</v>
      </c>
      <c r="D18" s="17" t="s">
        <v>221</v>
      </c>
      <c r="G18" s="8" t="str">
        <f>IFERROR(VLOOKUP(B18,Itemoverzicht!$C:$J,8,FALSE),"xxx")</f>
        <v>xxx</v>
      </c>
      <c r="H18" s="8" t="str">
        <f>IFERROR(VLOOKUP(C18,Itemoverzicht!$C:$J,8,FALSE),"xxx")</f>
        <v>xxx</v>
      </c>
      <c r="I18" s="8" t="str">
        <f>IFERROR(VLOOKUP(D18,Itemoverzicht!$C:$J,8,FALSE),"xxx")</f>
        <v>xxx</v>
      </c>
    </row>
    <row r="19" spans="1:9" ht="15" thickBot="1">
      <c r="B19" s="18"/>
      <c r="C19" s="19" t="s">
        <v>141</v>
      </c>
      <c r="D19" s="20"/>
      <c r="G19" s="8" t="str">
        <f>IFERROR(VLOOKUP(B19,Itemoverzicht!$C:$J,8,FALSE),"xxx")</f>
        <v>xxx</v>
      </c>
      <c r="H19" s="8" t="str">
        <f>IFERROR(VLOOKUP(C19,Itemoverzicht!$C:$J,8,FALSE),"xxx")</f>
        <v>xxx</v>
      </c>
      <c r="I19" s="8" t="str">
        <f>IFERROR(VLOOKUP(D19,Itemoverzicht!$C:$J,8,FALSE),"xxx")</f>
        <v>xxx</v>
      </c>
    </row>
    <row r="20" spans="1:9" ht="15" thickBot="1">
      <c r="B20" s="13" t="s">
        <v>36</v>
      </c>
      <c r="C20" s="15" t="s">
        <v>36</v>
      </c>
      <c r="D20" s="15" t="s">
        <v>36</v>
      </c>
      <c r="G20" s="8" t="str">
        <f>IFERROR(VLOOKUP(B20,Itemoverzicht!$C:$J,8,FALSE),"xxx")</f>
        <v>xxx</v>
      </c>
      <c r="H20" s="8" t="str">
        <f>IFERROR(VLOOKUP(C20,Itemoverzicht!$C:$J,8,FALSE),"xxx")</f>
        <v>xxx</v>
      </c>
      <c r="I20" s="8" t="str">
        <f>IFERROR(VLOOKUP(D20,Itemoverzicht!$C:$J,8,FALSE),"xxx")</f>
        <v>xxx</v>
      </c>
    </row>
    <row r="21" spans="1:9" ht="15" thickBot="1">
      <c r="B21" s="16" t="s">
        <v>151</v>
      </c>
      <c r="C21" s="17" t="s">
        <v>145</v>
      </c>
      <c r="D21" s="17" t="s">
        <v>197</v>
      </c>
      <c r="G21" s="8" t="str">
        <f>IFERROR(VLOOKUP(B21,Itemoverzicht!$C:$J,8,FALSE),"xxx")</f>
        <v>xxx</v>
      </c>
      <c r="H21" s="8" t="str">
        <f>IFERROR(VLOOKUP(C21,Itemoverzicht!$C:$J,8,FALSE),"xxx")</f>
        <v>xxx</v>
      </c>
      <c r="I21" s="8" t="str">
        <f>IFERROR(VLOOKUP(D21,Itemoverzicht!$C:$J,8,FALSE),"xxx")</f>
        <v>xxx</v>
      </c>
    </row>
    <row r="22" spans="1:9" ht="15" thickBot="1">
      <c r="B22" s="16" t="s">
        <v>82</v>
      </c>
      <c r="C22" s="17" t="s">
        <v>180</v>
      </c>
      <c r="D22" s="17" t="s">
        <v>165</v>
      </c>
      <c r="G22" s="8" t="str">
        <f>IFERROR(VLOOKUP(B22,Itemoverzicht!$C:$J,8,FALSE),"xxx")</f>
        <v>xxx</v>
      </c>
      <c r="H22" s="8" t="str">
        <f>IFERROR(VLOOKUP(C22,Itemoverzicht!$C:$J,8,FALSE),"xxx")</f>
        <v>xxx</v>
      </c>
      <c r="I22" s="8" t="str">
        <f>IFERROR(VLOOKUP(D22,Itemoverzicht!$C:$J,8,FALSE),"xxx")</f>
        <v>xxx</v>
      </c>
    </row>
    <row r="23" spans="1:9" ht="15" thickBot="1">
      <c r="B23" s="16" t="s">
        <v>199</v>
      </c>
      <c r="C23" s="17" t="s">
        <v>127</v>
      </c>
      <c r="D23" s="17" t="s">
        <v>153</v>
      </c>
      <c r="G23" s="8" t="str">
        <f>IFERROR(VLOOKUP(B23,Itemoverzicht!$C:$J,8,FALSE),"xxx")</f>
        <v>xxx</v>
      </c>
      <c r="H23" s="8" t="str">
        <f>IFERROR(VLOOKUP(C23,Itemoverzicht!$C:$J,8,FALSE),"xxx")</f>
        <v>xxx</v>
      </c>
      <c r="I23" s="8" t="str">
        <f>IFERROR(VLOOKUP(D23,Itemoverzicht!$C:$J,8,FALSE),"xxx")</f>
        <v>xxx</v>
      </c>
    </row>
    <row r="24" spans="1:9" ht="15" thickBot="1">
      <c r="B24" s="21" t="s">
        <v>86</v>
      </c>
      <c r="C24" s="17" t="s">
        <v>147</v>
      </c>
      <c r="D24" s="17" t="s">
        <v>149</v>
      </c>
      <c r="G24" s="8" t="str">
        <f>IFERROR(VLOOKUP(B24,Itemoverzicht!$C:$J,8,FALSE),"xxx")</f>
        <v>xxx</v>
      </c>
      <c r="H24" s="8" t="str">
        <f>IFERROR(VLOOKUP(C24,Itemoverzicht!$C:$J,8,FALSE),"xxx")</f>
        <v>xxx</v>
      </c>
      <c r="I24" s="8" t="str">
        <f>IFERROR(VLOOKUP(D24,Itemoverzicht!$C:$J,8,FALSE),"xxx")</f>
        <v>xxx</v>
      </c>
    </row>
    <row r="25" spans="1:9" ht="15" thickBot="1">
      <c r="B25" s="21" t="s">
        <v>90</v>
      </c>
      <c r="C25" s="22" t="s">
        <v>37</v>
      </c>
      <c r="D25" s="17" t="s">
        <v>155</v>
      </c>
      <c r="G25" s="8" t="str">
        <f>IFERROR(VLOOKUP(B25,Itemoverzicht!$C:$J,8,FALSE),"xxx")</f>
        <v>xxx</v>
      </c>
      <c r="H25" s="8" t="str">
        <f>IFERROR(VLOOKUP(C25,Itemoverzicht!$C:$J,8,FALSE),"xxx")</f>
        <v>xxx</v>
      </c>
      <c r="I25" s="8" t="str">
        <f>IFERROR(VLOOKUP(D25,Itemoverzicht!$C:$J,8,FALSE),"xxx")</f>
        <v>xxx</v>
      </c>
    </row>
    <row r="26" spans="1:9" ht="15" thickBot="1">
      <c r="B26" s="21" t="s">
        <v>104</v>
      </c>
      <c r="C26" s="22" t="s">
        <v>72</v>
      </c>
      <c r="D26" s="17" t="s">
        <v>201</v>
      </c>
      <c r="G26" s="8" t="str">
        <f>IFERROR(VLOOKUP(B26,Itemoverzicht!$C:$J,8,FALSE),"xxx")</f>
        <v>xxx</v>
      </c>
      <c r="H26" s="8" t="str">
        <f>IFERROR(VLOOKUP(C26,Itemoverzicht!$C:$J,8,FALSE),"xxx")</f>
        <v>xxx</v>
      </c>
      <c r="I26" s="8" t="str">
        <f>IFERROR(VLOOKUP(D26,Itemoverzicht!$C:$J,8,FALSE),"xxx")</f>
        <v>xxx</v>
      </c>
    </row>
    <row r="27" spans="1:9" ht="15" thickBot="1">
      <c r="B27" s="18" t="s">
        <v>108</v>
      </c>
      <c r="C27" s="20" t="s">
        <v>64</v>
      </c>
      <c r="D27" s="19"/>
      <c r="G27" s="8" t="str">
        <f>IFERROR(VLOOKUP(B27,Itemoverzicht!$C:$J,8,FALSE),"xxx")</f>
        <v>xxx</v>
      </c>
      <c r="H27" s="8" t="str">
        <f>IFERROR(VLOOKUP(C27,Itemoverzicht!$C:$J,8,FALSE),"xxx")</f>
        <v>xxx</v>
      </c>
      <c r="I27" s="8" t="str">
        <f>IFERROR(VLOOKUP(D27,Itemoverzicht!$C:$J,8,FALSE),"xxx")</f>
        <v>xxx</v>
      </c>
    </row>
    <row r="28" spans="1:9" ht="15" thickBot="1">
      <c r="A28" s="26"/>
      <c r="B28" s="27" t="s">
        <v>10</v>
      </c>
      <c r="C28" s="15" t="s">
        <v>10</v>
      </c>
      <c r="D28" s="15" t="s">
        <v>10</v>
      </c>
      <c r="G28" s="8" t="str">
        <f>IFERROR(VLOOKUP(B28,Itemoverzicht!$C:$J,8,FALSE),"xxx")</f>
        <v>xxx</v>
      </c>
      <c r="H28" s="8" t="str">
        <f>IFERROR(VLOOKUP(C28,Itemoverzicht!$C:$J,8,FALSE),"xxx")</f>
        <v>xxx</v>
      </c>
      <c r="I28" s="8" t="str">
        <f>IFERROR(VLOOKUP(D28,Itemoverzicht!$C:$J,8,FALSE),"xxx")</f>
        <v>xxx</v>
      </c>
    </row>
    <row r="29" spans="1:9" ht="15" thickBot="1">
      <c r="A29" s="26"/>
      <c r="B29" s="28" t="s">
        <v>11</v>
      </c>
      <c r="C29" s="17" t="s">
        <v>189</v>
      </c>
      <c r="D29" s="17" t="s">
        <v>143</v>
      </c>
      <c r="G29" s="34" t="str">
        <f>IFERROR(VLOOKUP(B29,Itemoverzicht!$C:$J,8,FALSE),"xxx")</f>
        <v>xxx</v>
      </c>
      <c r="H29" s="8" t="str">
        <f>IFERROR(VLOOKUP(C29,Itemoverzicht!$C:$J,8,FALSE),"xxx")</f>
        <v>xxx</v>
      </c>
      <c r="I29" s="8" t="str">
        <f>IFERROR(VLOOKUP(D29,Itemoverzicht!$C:$J,8,FALSE),"xxx")</f>
        <v>xxx</v>
      </c>
    </row>
    <row r="30" spans="1:9" ht="15" thickBot="1">
      <c r="A30" s="26"/>
      <c r="B30" s="28" t="s">
        <v>62</v>
      </c>
      <c r="C30" s="17" t="s">
        <v>100</v>
      </c>
      <c r="D30" s="17" t="s">
        <v>70</v>
      </c>
      <c r="G30" s="8" t="str">
        <f>IFERROR(VLOOKUP(B30,Itemoverzicht!$C:$J,8,FALSE),"xxx")</f>
        <v>xxx</v>
      </c>
      <c r="H30" s="8" t="str">
        <f>IFERROR(VLOOKUP(C30,Itemoverzicht!$C:$J,8,FALSE),"xxx")</f>
        <v>xxx</v>
      </c>
      <c r="I30" s="8" t="str">
        <f>IFERROR(VLOOKUP(D30,Itemoverzicht!$C:$J,8,FALSE),"xxx")</f>
        <v>xxx</v>
      </c>
    </row>
    <row r="31" spans="1:9" ht="15" thickBot="1">
      <c r="A31" s="26"/>
      <c r="B31" s="16" t="s">
        <v>24</v>
      </c>
      <c r="C31" s="17" t="s">
        <v>185</v>
      </c>
      <c r="D31" s="17" t="s">
        <v>139</v>
      </c>
      <c r="G31" s="8" t="str">
        <f>IFERROR(VLOOKUP(B31,Itemoverzicht!$C:$J,8,FALSE),"xxx")</f>
        <v>xxx</v>
      </c>
      <c r="H31" s="8" t="str">
        <f>IFERROR(VLOOKUP(C31,Itemoverzicht!$C:$J,8,FALSE),"xxx")</f>
        <v>xxx</v>
      </c>
      <c r="I31" s="8" t="str">
        <f>IFERROR(VLOOKUP(D31,Itemoverzicht!$C:$J,8,FALSE),"xxx")</f>
        <v>xxx</v>
      </c>
    </row>
    <row r="32" spans="1:9" ht="15" thickBot="1">
      <c r="A32" s="26"/>
      <c r="B32" s="16" t="s">
        <v>80</v>
      </c>
      <c r="C32" s="20" t="s">
        <v>52</v>
      </c>
      <c r="D32" s="17"/>
      <c r="G32" s="8" t="str">
        <f>IFERROR(VLOOKUP(B32,Itemoverzicht!$C:$J,8,FALSE),"xxx")</f>
        <v>xxx</v>
      </c>
      <c r="H32" s="8" t="str">
        <f>IFERROR(VLOOKUP(C32,Itemoverzicht!$C:$J,8,FALSE),"xxx")</f>
        <v>xxx</v>
      </c>
      <c r="I32" s="8" t="str">
        <f>IFERROR(VLOOKUP(D32,Itemoverzicht!$C:$J,8,FALSE),"xxx")</f>
        <v>xxx</v>
      </c>
    </row>
    <row r="33" spans="1:9" ht="15" thickBot="1">
      <c r="A33" s="26"/>
      <c r="B33" s="14" t="s">
        <v>39</v>
      </c>
      <c r="C33" s="20"/>
      <c r="D33" s="20"/>
      <c r="G33" s="8" t="str">
        <f>IFERROR(VLOOKUP(B33,Itemoverzicht!$C:$J,8,FALSE),"xxx")</f>
        <v>xxx</v>
      </c>
      <c r="H33" s="8" t="str">
        <f>IFERROR(VLOOKUP(C33,Itemoverzicht!$C:$J,8,FALSE),"xxx")</f>
        <v>xxx</v>
      </c>
      <c r="I33" s="8" t="str">
        <f>IFERROR(VLOOKUP(D33,Itemoverzicht!$C:$J,8,FALSE),"xxx")</f>
        <v>xxx</v>
      </c>
    </row>
    <row r="34" spans="1:9" ht="15" thickBot="1">
      <c r="A34" s="26"/>
      <c r="B34" s="13" t="s">
        <v>14</v>
      </c>
      <c r="C34" s="15" t="s">
        <v>14</v>
      </c>
      <c r="D34" s="15" t="s">
        <v>14</v>
      </c>
      <c r="G34" s="8" t="str">
        <f>IFERROR(VLOOKUP(B34,Itemoverzicht!$C:$J,8,FALSE),"xxx")</f>
        <v>xxx</v>
      </c>
      <c r="H34" s="8" t="str">
        <f>IFERROR(VLOOKUP(C34,Itemoverzicht!$C:$J,8,FALSE),"xxx")</f>
        <v>xxx</v>
      </c>
      <c r="I34" s="8" t="str">
        <f>IFERROR(VLOOKUP(D34,Itemoverzicht!$C:$J,8,FALSE),"xxx")</f>
        <v>xxx</v>
      </c>
    </row>
    <row r="35" spans="1:9" ht="15" thickBot="1">
      <c r="A35" s="26"/>
      <c r="B35" s="29" t="s">
        <v>15</v>
      </c>
      <c r="C35" s="17" t="s">
        <v>163</v>
      </c>
      <c r="D35" s="17" t="s">
        <v>161</v>
      </c>
      <c r="G35" s="8" t="str">
        <f>IFERROR(VLOOKUP(B35,Itemoverzicht!$C:$J,8,FALSE),"xxx")</f>
        <v>xxx</v>
      </c>
      <c r="H35" s="8" t="str">
        <f>IFERROR(VLOOKUP(C35,Itemoverzicht!$C:$J,8,FALSE),"xxx")</f>
        <v>xxx</v>
      </c>
      <c r="I35" s="8" t="str">
        <f>IFERROR(VLOOKUP(D35,Itemoverzicht!$C:$J,8,FALSE),"xxx")</f>
        <v>xxx</v>
      </c>
    </row>
    <row r="36" spans="1:9" ht="15" thickBot="1">
      <c r="A36" s="26"/>
      <c r="B36" s="17" t="s">
        <v>102</v>
      </c>
      <c r="C36" s="17" t="s">
        <v>137</v>
      </c>
      <c r="D36" s="17" t="s">
        <v>135</v>
      </c>
      <c r="G36" s="8" t="str">
        <f>IFERROR(VLOOKUP(B36,Itemoverzicht!$C:$J,8,FALSE),"xxx")</f>
        <v>xxx</v>
      </c>
      <c r="H36" s="8" t="str">
        <f>IFERROR(VLOOKUP(C36,Itemoverzicht!$C:$J,8,FALSE),"xxx")</f>
        <v>xxx</v>
      </c>
      <c r="I36" s="8" t="str">
        <f>IFERROR(VLOOKUP(D36,Itemoverzicht!$C:$J,8,FALSE),"xxx")</f>
        <v>xxx</v>
      </c>
    </row>
    <row r="37" spans="1:9" ht="28.2" thickBot="1">
      <c r="B37" s="21" t="s">
        <v>106</v>
      </c>
      <c r="C37" s="17" t="s">
        <v>191</v>
      </c>
      <c r="D37" s="22" t="s">
        <v>58</v>
      </c>
      <c r="G37" s="8" t="str">
        <f>IFERROR(VLOOKUP(B37,Itemoverzicht!$C:$J,8,FALSE),"xxx")</f>
        <v>xxx</v>
      </c>
      <c r="H37" s="8" t="str">
        <f>IFERROR(VLOOKUP(C37,Itemoverzicht!$C:$J,8,FALSE),"xxx")</f>
        <v>xxx</v>
      </c>
      <c r="I37" s="8" t="str">
        <f>IFERROR(VLOOKUP(D37,Itemoverzicht!$C:$J,8,FALSE),"xxx")</f>
        <v>xxx</v>
      </c>
    </row>
    <row r="38" spans="1:9" ht="15" thickBot="1">
      <c r="B38" s="21"/>
      <c r="C38" s="17" t="s">
        <v>129</v>
      </c>
      <c r="D38" s="22" t="s">
        <v>78</v>
      </c>
      <c r="G38" s="8" t="str">
        <f>IFERROR(VLOOKUP(B38,Itemoverzicht!$C:$J,8,FALSE),"xxx")</f>
        <v>xxx</v>
      </c>
      <c r="H38" s="8" t="str">
        <f>IFERROR(VLOOKUP(C38,Itemoverzicht!$C:$J,8,FALSE),"xxx")</f>
        <v>xxx</v>
      </c>
      <c r="I38" s="8" t="str">
        <f>IFERROR(VLOOKUP(D38,Itemoverzicht!$C:$J,8,FALSE),"xxx")</f>
        <v>xxx</v>
      </c>
    </row>
    <row r="39" spans="1:9" ht="15" thickBot="1">
      <c r="B39" s="21"/>
      <c r="C39" s="17" t="s">
        <v>131</v>
      </c>
      <c r="D39" s="22" t="s">
        <v>225</v>
      </c>
      <c r="G39" s="8" t="str">
        <f>IFERROR(VLOOKUP(B39,Itemoverzicht!$C:$J,8,FALSE),"xxx")</f>
        <v>xxx</v>
      </c>
      <c r="H39" s="8" t="str">
        <f>IFERROR(VLOOKUP(C39,Itemoverzicht!$C:$J,8,FALSE),"xxx")</f>
        <v>xxx</v>
      </c>
      <c r="I39" s="8" t="str">
        <f>IFERROR(VLOOKUP(D39,Itemoverzicht!$C:$J,8,FALSE),"xxx")</f>
        <v>xxx</v>
      </c>
    </row>
    <row r="40" spans="1:9" ht="15" thickBot="1">
      <c r="B40" s="21"/>
      <c r="C40" s="17" t="s">
        <v>227</v>
      </c>
      <c r="D40" s="22"/>
      <c r="G40" s="8"/>
      <c r="H40" s="8" t="str">
        <f>IFERROR(VLOOKUP(C40,Itemoverzicht!$C:$J,8,FALSE),"xxx")</f>
        <v>xxx</v>
      </c>
      <c r="I40" s="8"/>
    </row>
    <row r="41" spans="1:9" ht="15" thickBot="1">
      <c r="B41" s="18"/>
      <c r="C41" s="19" t="s">
        <v>133</v>
      </c>
      <c r="D41" s="20"/>
      <c r="G41" s="8" t="str">
        <f>IFERROR(VLOOKUP(B41,Itemoverzicht!$C:$J,8,FALSE),"xxx")</f>
        <v>xxx</v>
      </c>
      <c r="H41" s="8" t="str">
        <f>IFERROR(VLOOKUP(C41,Itemoverzicht!$C:$J,8,FALSE),"xxx")</f>
        <v>xxx</v>
      </c>
      <c r="I41" s="8" t="str">
        <f>IFERROR(VLOOKUP(D41,Itemoverzicht!$C:$J,8,FALSE),"xxx")</f>
        <v>xxx</v>
      </c>
    </row>
    <row r="42" spans="1:9" ht="15" thickBot="1">
      <c r="B42" s="23" t="s">
        <v>219</v>
      </c>
      <c r="C42" s="35"/>
      <c r="D42" s="24" t="s">
        <v>220</v>
      </c>
      <c r="G42" s="8" t="str">
        <f>IFERROR(VLOOKUP(B42,Itemoverzicht!$C:$J,8,FALSE),"xxx")</f>
        <v>xxx</v>
      </c>
      <c r="H42" s="8" t="str">
        <f>IFERROR(VLOOKUP(C42,Itemoverzicht!$C:$J,8,FALSE),"xxx")</f>
        <v>xxx</v>
      </c>
      <c r="I42" s="8" t="str">
        <f>IFERROR(VLOOKUP(D42,Itemoverzicht!$C:$J,8,FALSE),"xxx")</f>
        <v>xxx</v>
      </c>
    </row>
    <row r="43" spans="1:9" ht="15" thickBot="1">
      <c r="B43" s="16" t="s">
        <v>170</v>
      </c>
      <c r="C43" s="36"/>
      <c r="D43" s="15" t="s">
        <v>212</v>
      </c>
      <c r="G43" s="8" t="str">
        <f>IFERROR(VLOOKUP(B43,Itemoverzicht!$C:$J,8,FALSE),"xxx")</f>
        <v>xxx</v>
      </c>
      <c r="H43" s="8" t="str">
        <f>IFERROR(VLOOKUP(C43,Itemoverzicht!$C:$J,8,FALSE),"xxx")</f>
        <v>xxx</v>
      </c>
      <c r="I43" s="8" t="str">
        <f>IFERROR(VLOOKUP(D43,Itemoverzicht!$C:$J,8,FALSE),"xxx")</f>
        <v>xxx</v>
      </c>
    </row>
    <row r="44" spans="1:9" ht="28.2" thickBot="1">
      <c r="B44" s="16" t="s">
        <v>178</v>
      </c>
      <c r="C44" s="36"/>
      <c r="D44" s="17" t="s">
        <v>182</v>
      </c>
      <c r="G44" s="8" t="str">
        <f>IFERROR(VLOOKUP(B44,Itemoverzicht!$C:$J,8,FALSE),"xxx")</f>
        <v>xxx</v>
      </c>
      <c r="H44" s="8" t="str">
        <f>IFERROR(VLOOKUP(C44,Itemoverzicht!$C:$J,8,FALSE),"xxx")</f>
        <v>xxx</v>
      </c>
      <c r="I44" s="8" t="str">
        <f>IFERROR(VLOOKUP(D44,Itemoverzicht!$C:$J,8,FALSE),"xxx")</f>
        <v>xxx</v>
      </c>
    </row>
    <row r="45" spans="1:9" ht="28.2" thickBot="1">
      <c r="B45" s="16" t="s">
        <v>176</v>
      </c>
      <c r="C45" s="36"/>
      <c r="D45" s="17" t="s">
        <v>174</v>
      </c>
      <c r="G45" s="8" t="str">
        <f>IFERROR(VLOOKUP(B45,Itemoverzicht!$C:$J,8,FALSE),"xxx")</f>
        <v>xxx</v>
      </c>
      <c r="H45" s="8" t="str">
        <f>IFERROR(VLOOKUP(C45,Itemoverzicht!$C:$J,8,FALSE),"xxx")</f>
        <v>xxx</v>
      </c>
      <c r="I45" s="8" t="str">
        <f>IFERROR(VLOOKUP(D45,Itemoverzicht!$C:$J,8,FALSE),"xxx")</f>
        <v>xxx</v>
      </c>
    </row>
    <row r="46" spans="1:9" ht="15" thickBot="1">
      <c r="B46" s="16" t="s">
        <v>168</v>
      </c>
      <c r="C46" s="36"/>
      <c r="D46" s="22" t="s">
        <v>44</v>
      </c>
      <c r="G46" s="8" t="str">
        <f>IFERROR(VLOOKUP(B46,Itemoverzicht!$C:$J,8,FALSE),"xxx")</f>
        <v>xxx</v>
      </c>
      <c r="H46" s="8" t="str">
        <f>IFERROR(VLOOKUP(C46,Itemoverzicht!$C:$J,8,FALSE),"xxx")</f>
        <v>xxx</v>
      </c>
      <c r="I46" s="8" t="str">
        <f>IFERROR(VLOOKUP(D46,Itemoverzicht!$C:$J,8,FALSE),"xxx")</f>
        <v>xxx</v>
      </c>
    </row>
    <row r="47" spans="1:9" ht="15" thickBot="1">
      <c r="B47" s="16" t="s">
        <v>195</v>
      </c>
      <c r="C47" s="36"/>
      <c r="D47" s="15" t="s">
        <v>213</v>
      </c>
      <c r="G47" s="8" t="str">
        <f>IFERROR(VLOOKUP(B47,Itemoverzicht!$C:$J,8,FALSE),"xxx")</f>
        <v>xxx</v>
      </c>
      <c r="H47" s="8" t="str">
        <f>IFERROR(VLOOKUP(C47,Itemoverzicht!$C:$J,8,FALSE),"xxx")</f>
        <v>xxx</v>
      </c>
      <c r="I47" s="8" t="str">
        <f>IFERROR(VLOOKUP(D47,Itemoverzicht!$C:$J,8,FALSE),"xxx")</f>
        <v>xxx</v>
      </c>
    </row>
    <row r="48" spans="1:9" ht="15" thickBot="1">
      <c r="B48" s="16" t="s">
        <v>172</v>
      </c>
      <c r="C48" s="36"/>
      <c r="D48" s="17" t="s">
        <v>203</v>
      </c>
      <c r="G48" s="8" t="str">
        <f>IFERROR(VLOOKUP(B48,Itemoverzicht!$C:$J,8,FALSE),"xxx")</f>
        <v>xxx</v>
      </c>
      <c r="H48" s="8" t="str">
        <f>IFERROR(VLOOKUP(C48,Itemoverzicht!$C:$J,8,FALSE),"xxx")</f>
        <v>xxx</v>
      </c>
      <c r="I48" s="8" t="str">
        <f>IFERROR(VLOOKUP(D48,Itemoverzicht!$C:$J,8,FALSE),"xxx")</f>
        <v>xxx</v>
      </c>
    </row>
    <row r="49" spans="2:9" ht="15" thickBot="1">
      <c r="B49" s="16" t="s">
        <v>187</v>
      </c>
      <c r="C49" s="36"/>
      <c r="D49" s="17" t="s">
        <v>56</v>
      </c>
      <c r="G49" s="8" t="str">
        <f>IFERROR(VLOOKUP(B49,Itemoverzicht!$C:$J,8,FALSE),"xxx")</f>
        <v>xxx</v>
      </c>
      <c r="H49" s="8" t="str">
        <f>IFERROR(VLOOKUP(C49,Itemoverzicht!$C:$J,8,FALSE),"xxx")</f>
        <v>xxx</v>
      </c>
      <c r="I49" s="8" t="str">
        <f>IFERROR(VLOOKUP(D49,Itemoverzicht!$C:$J,8,FALSE),"xxx")</f>
        <v>xxx</v>
      </c>
    </row>
    <row r="50" spans="2:9" ht="15" thickBot="1">
      <c r="B50" s="16"/>
      <c r="C50" s="36"/>
      <c r="D50" s="17" t="s">
        <v>205</v>
      </c>
      <c r="G50" s="8" t="str">
        <f>IFERROR(VLOOKUP(B50,Itemoverzicht!$C:$J,8,FALSE),"xxx")</f>
        <v>xxx</v>
      </c>
      <c r="H50" s="8" t="str">
        <f>IFERROR(VLOOKUP(C50,Itemoverzicht!$C:$J,8,FALSE),"xxx")</f>
        <v>xxx</v>
      </c>
      <c r="I50" s="8" t="str">
        <f>IFERROR(VLOOKUP(D50,Itemoverzicht!$C:$J,8,FALSE),"xxx")</f>
        <v>xxx</v>
      </c>
    </row>
    <row r="51" spans="2:9" ht="15" thickBot="1">
      <c r="B51" s="16"/>
      <c r="C51" s="36"/>
      <c r="D51" s="17" t="s">
        <v>76</v>
      </c>
      <c r="G51" s="8" t="str">
        <f>IFERROR(VLOOKUP(B51,Itemoverzicht!$C:$J,8,FALSE),"xxx")</f>
        <v>xxx</v>
      </c>
      <c r="H51" s="8" t="str">
        <f>IFERROR(VLOOKUP(C51,Itemoverzicht!$C:$J,8,FALSE),"xxx")</f>
        <v>xxx</v>
      </c>
      <c r="I51" s="8" t="str">
        <f>IFERROR(VLOOKUP(D51,Itemoverzicht!$C:$J,8,FALSE),"xxx")</f>
        <v>xxx</v>
      </c>
    </row>
    <row r="52" spans="2:9" ht="15" thickBot="1">
      <c r="B52" s="18"/>
      <c r="C52" s="37"/>
      <c r="D52" s="19" t="s">
        <v>193</v>
      </c>
      <c r="G52" s="8" t="str">
        <f>IFERROR(VLOOKUP(B52,Itemoverzicht!$C:$J,8,FALSE),"xxx")</f>
        <v>xxx</v>
      </c>
      <c r="H52" s="8" t="str">
        <f>IFERROR(VLOOKUP(C52,Itemoverzicht!$C:$J,8,FALSE),"xxx")</f>
        <v>xxx</v>
      </c>
      <c r="I52" s="8" t="str">
        <f>IFERROR(VLOOKUP(D52,Itemoverzicht!$C:$J,8,FALSE),"xxx")</f>
        <v>xxx</v>
      </c>
    </row>
  </sheetData>
  <mergeCells count="1">
    <mergeCell ref="C42:C52"/>
  </mergeCells>
  <conditionalFormatting sqref="C29:D30 C35:D35 B13:D28 C12:D12 B2:D11 B31:D34 B36:D5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I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D52">
    <cfRule type="expression" dxfId="3" priority="2">
      <formula>G2=4</formula>
    </cfRule>
    <cfRule type="expression" dxfId="2" priority="3">
      <formula>G2=3</formula>
    </cfRule>
    <cfRule type="expression" dxfId="1" priority="4">
      <formula>G2=2</formula>
    </cfRule>
    <cfRule type="expression" dxfId="0" priority="5">
      <formula>G2=1</formula>
    </cfRule>
  </conditionalFormatting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Itemoverzicht</vt:lpstr>
      <vt:lpstr>Grafiek</vt:lpstr>
      <vt:lpstr>Tabel</vt:lpstr>
      <vt:lpstr>ICF Bilan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Lieve Beheydt</dc:creator>
  <cp:lastModifiedBy>Sarah Boddewyn</cp:lastModifiedBy>
  <cp:lastPrinted>2024-12-05T09:06:06Z</cp:lastPrinted>
  <dcterms:created xsi:type="dcterms:W3CDTF">2024-06-25T08:06:09Z</dcterms:created>
  <dcterms:modified xsi:type="dcterms:W3CDTF">2025-02-04T10:40:11Z</dcterms:modified>
</cp:coreProperties>
</file>